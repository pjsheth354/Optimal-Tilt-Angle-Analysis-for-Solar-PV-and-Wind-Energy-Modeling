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priya\Downloads\Renewable Energy for Mechanical Engineering\Project 1\"/>
    </mc:Choice>
  </mc:AlternateContent>
  <xr:revisionPtr revIDLastSave="0" documentId="13_ncr:1_{62E603D5-1D52-4FD3-8CAC-486BE0902C6E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HTBar" sheetId="1" r:id="rId1"/>
    <sheet name="HTBar Individual" sheetId="3" r:id="rId2"/>
    <sheet name="ITBar" sheetId="2" r:id="rId3"/>
  </sheets>
  <definedNames>
    <definedName name="_xlnm._FilterDatabase" localSheetId="2" hidden="1">ITBar!$R$1:$R$174</definedName>
    <definedName name="A">'HTBar Individual'!$N$1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0" i="1" l="1"/>
  <c r="G80" i="1"/>
  <c r="F80" i="1"/>
  <c r="E80" i="1"/>
  <c r="F79" i="1" l="1"/>
  <c r="G79" i="1"/>
  <c r="H79" i="1"/>
  <c r="I79" i="1"/>
  <c r="J79" i="1"/>
  <c r="K79" i="1"/>
  <c r="L79" i="1"/>
  <c r="M79" i="1"/>
  <c r="N79" i="1"/>
  <c r="O79" i="1"/>
  <c r="P79" i="1"/>
  <c r="E79" i="1"/>
  <c r="E74" i="1"/>
  <c r="AO31" i="3" l="1"/>
  <c r="AO32" i="3"/>
  <c r="AO33" i="3"/>
  <c r="AO34" i="3"/>
  <c r="AO35" i="3"/>
  <c r="AO36" i="3"/>
  <c r="AO37" i="3"/>
  <c r="AO38" i="3"/>
  <c r="AO39" i="3"/>
  <c r="AO40" i="3"/>
  <c r="AO41" i="3"/>
  <c r="AO30" i="3"/>
  <c r="AO17" i="3"/>
  <c r="AO18" i="3"/>
  <c r="AO19" i="3"/>
  <c r="AO20" i="3"/>
  <c r="AO21" i="3"/>
  <c r="AO22" i="3"/>
  <c r="AO23" i="3"/>
  <c r="AO24" i="3"/>
  <c r="AO25" i="3"/>
  <c r="AO26" i="3"/>
  <c r="AO27" i="3"/>
  <c r="AO16" i="3"/>
  <c r="AO13" i="3"/>
  <c r="AN31" i="3"/>
  <c r="AN32" i="3"/>
  <c r="AN33" i="3"/>
  <c r="AN34" i="3"/>
  <c r="AN35" i="3"/>
  <c r="AN36" i="3"/>
  <c r="AN37" i="3"/>
  <c r="AN38" i="3"/>
  <c r="AN39" i="3"/>
  <c r="AN40" i="3"/>
  <c r="AN41" i="3"/>
  <c r="AN30" i="3"/>
  <c r="AN17" i="3"/>
  <c r="AN18" i="3"/>
  <c r="AN19" i="3"/>
  <c r="AN20" i="3"/>
  <c r="AN21" i="3"/>
  <c r="AN22" i="3"/>
  <c r="AN23" i="3"/>
  <c r="AN24" i="3"/>
  <c r="AN25" i="3"/>
  <c r="AN26" i="3"/>
  <c r="AN27" i="3"/>
  <c r="AN16" i="3"/>
  <c r="AN13" i="3"/>
  <c r="AM31" i="3"/>
  <c r="AM32" i="3"/>
  <c r="AM33" i="3"/>
  <c r="AM34" i="3"/>
  <c r="AM35" i="3"/>
  <c r="AM36" i="3"/>
  <c r="AM37" i="3"/>
  <c r="AM38" i="3"/>
  <c r="AM39" i="3"/>
  <c r="AM40" i="3"/>
  <c r="AM41" i="3"/>
  <c r="AM30" i="3"/>
  <c r="AM17" i="3"/>
  <c r="AM18" i="3"/>
  <c r="AM19" i="3"/>
  <c r="AM20" i="3"/>
  <c r="AM21" i="3"/>
  <c r="AM22" i="3"/>
  <c r="AM23" i="3"/>
  <c r="AM24" i="3"/>
  <c r="AM25" i="3"/>
  <c r="AM26" i="3"/>
  <c r="AM27" i="3"/>
  <c r="AM16" i="3"/>
  <c r="AM13" i="3"/>
  <c r="AL31" i="3"/>
  <c r="AL32" i="3"/>
  <c r="AL33" i="3"/>
  <c r="AL34" i="3"/>
  <c r="AL35" i="3"/>
  <c r="AL36" i="3"/>
  <c r="AL37" i="3"/>
  <c r="AL38" i="3"/>
  <c r="AL39" i="3"/>
  <c r="AL40" i="3"/>
  <c r="AL41" i="3"/>
  <c r="AL30" i="3"/>
  <c r="AL17" i="3"/>
  <c r="AL18" i="3"/>
  <c r="AL19" i="3"/>
  <c r="AL20" i="3"/>
  <c r="AL21" i="3"/>
  <c r="AL22" i="3"/>
  <c r="AL23" i="3"/>
  <c r="AL24" i="3"/>
  <c r="AL25" i="3"/>
  <c r="AL26" i="3"/>
  <c r="AL27" i="3"/>
  <c r="AL16" i="3"/>
  <c r="AL13" i="3"/>
  <c r="AK31" i="3"/>
  <c r="AK32" i="3"/>
  <c r="AK33" i="3"/>
  <c r="AK34" i="3"/>
  <c r="AK35" i="3"/>
  <c r="AK36" i="3"/>
  <c r="AK37" i="3"/>
  <c r="AK38" i="3"/>
  <c r="AK39" i="3"/>
  <c r="AK40" i="3"/>
  <c r="AK41" i="3"/>
  <c r="AK30" i="3"/>
  <c r="AK17" i="3"/>
  <c r="AK18" i="3"/>
  <c r="AK19" i="3"/>
  <c r="AK20" i="3"/>
  <c r="AK21" i="3"/>
  <c r="AK22" i="3"/>
  <c r="AK23" i="3"/>
  <c r="AK24" i="3"/>
  <c r="AK25" i="3"/>
  <c r="AK26" i="3"/>
  <c r="AK27" i="3"/>
  <c r="AK16" i="3"/>
  <c r="AK13" i="3"/>
  <c r="AJ31" i="3"/>
  <c r="AJ32" i="3"/>
  <c r="AJ33" i="3"/>
  <c r="AJ34" i="3"/>
  <c r="AJ35" i="3"/>
  <c r="AJ36" i="3"/>
  <c r="AJ37" i="3"/>
  <c r="AJ38" i="3"/>
  <c r="AJ39" i="3"/>
  <c r="AJ40" i="3"/>
  <c r="AJ41" i="3"/>
  <c r="AJ30" i="3"/>
  <c r="AJ17" i="3"/>
  <c r="AJ18" i="3"/>
  <c r="AJ19" i="3"/>
  <c r="AJ20" i="3"/>
  <c r="AJ21" i="3"/>
  <c r="AJ22" i="3"/>
  <c r="AJ23" i="3"/>
  <c r="AJ24" i="3"/>
  <c r="AJ25" i="3"/>
  <c r="AJ26" i="3"/>
  <c r="AJ27" i="3"/>
  <c r="AJ16" i="3"/>
  <c r="AJ13" i="3"/>
  <c r="AI31" i="3"/>
  <c r="AI32" i="3"/>
  <c r="AI33" i="3"/>
  <c r="AI34" i="3"/>
  <c r="AI35" i="3"/>
  <c r="AI36" i="3"/>
  <c r="AI37" i="3"/>
  <c r="AI38" i="3"/>
  <c r="AI39" i="3"/>
  <c r="AI40" i="3"/>
  <c r="AI41" i="3"/>
  <c r="AI30" i="3"/>
  <c r="AI17" i="3"/>
  <c r="AI18" i="3"/>
  <c r="AI19" i="3"/>
  <c r="AI20" i="3"/>
  <c r="AI21" i="3"/>
  <c r="AI22" i="3"/>
  <c r="AI23" i="3"/>
  <c r="AI24" i="3"/>
  <c r="AI25" i="3"/>
  <c r="AI26" i="3"/>
  <c r="AI27" i="3"/>
  <c r="AI16" i="3"/>
  <c r="AI13" i="3"/>
  <c r="AH31" i="3"/>
  <c r="AH32" i="3"/>
  <c r="AH33" i="3"/>
  <c r="AH34" i="3"/>
  <c r="AH35" i="3"/>
  <c r="AH36" i="3"/>
  <c r="AH37" i="3"/>
  <c r="AH38" i="3"/>
  <c r="AH39" i="3"/>
  <c r="AH40" i="3"/>
  <c r="AH41" i="3"/>
  <c r="AH30" i="3"/>
  <c r="AH17" i="3"/>
  <c r="AH18" i="3"/>
  <c r="AH19" i="3"/>
  <c r="AH20" i="3"/>
  <c r="AH21" i="3"/>
  <c r="AH22" i="3"/>
  <c r="AH23" i="3"/>
  <c r="AH24" i="3"/>
  <c r="AH25" i="3"/>
  <c r="AH26" i="3"/>
  <c r="AH27" i="3"/>
  <c r="AH16" i="3"/>
  <c r="AH13" i="3"/>
  <c r="AG31" i="3"/>
  <c r="AG32" i="3"/>
  <c r="AG33" i="3"/>
  <c r="AG34" i="3"/>
  <c r="AG35" i="3"/>
  <c r="AG36" i="3"/>
  <c r="AG37" i="3"/>
  <c r="AG38" i="3"/>
  <c r="AG39" i="3"/>
  <c r="AG40" i="3"/>
  <c r="AG41" i="3"/>
  <c r="AG30" i="3"/>
  <c r="AG17" i="3"/>
  <c r="AG18" i="3"/>
  <c r="AG19" i="3"/>
  <c r="AG20" i="3"/>
  <c r="AG21" i="3"/>
  <c r="AG22" i="3"/>
  <c r="AG23" i="3"/>
  <c r="AG24" i="3"/>
  <c r="AG25" i="3"/>
  <c r="AG26" i="3"/>
  <c r="AG27" i="3"/>
  <c r="AG16" i="3"/>
  <c r="AG13" i="3"/>
  <c r="AF31" i="3"/>
  <c r="AF32" i="3"/>
  <c r="AF33" i="3"/>
  <c r="AF34" i="3"/>
  <c r="AF35" i="3"/>
  <c r="AF36" i="3"/>
  <c r="AF37" i="3"/>
  <c r="AF38" i="3"/>
  <c r="AF39" i="3"/>
  <c r="AF40" i="3"/>
  <c r="AF41" i="3"/>
  <c r="AF30" i="3"/>
  <c r="AF17" i="3"/>
  <c r="AF18" i="3"/>
  <c r="AF19" i="3"/>
  <c r="AF20" i="3"/>
  <c r="AF21" i="3"/>
  <c r="AF22" i="3"/>
  <c r="AF23" i="3"/>
  <c r="AF24" i="3"/>
  <c r="AF25" i="3"/>
  <c r="AF26" i="3"/>
  <c r="AF27" i="3"/>
  <c r="AF16" i="3"/>
  <c r="AF13" i="3"/>
  <c r="AE31" i="3"/>
  <c r="AE32" i="3"/>
  <c r="AE33" i="3"/>
  <c r="AE34" i="3"/>
  <c r="AE35" i="3"/>
  <c r="AE36" i="3"/>
  <c r="AE37" i="3"/>
  <c r="AE38" i="3"/>
  <c r="AE39" i="3"/>
  <c r="AE40" i="3"/>
  <c r="AE41" i="3"/>
  <c r="AE30" i="3"/>
  <c r="AE17" i="3"/>
  <c r="AE18" i="3"/>
  <c r="AE19" i="3"/>
  <c r="AE20" i="3"/>
  <c r="AE21" i="3"/>
  <c r="AE22" i="3"/>
  <c r="AE23" i="3"/>
  <c r="AE24" i="3"/>
  <c r="AE25" i="3"/>
  <c r="AE26" i="3"/>
  <c r="AE27" i="3"/>
  <c r="AE16" i="3"/>
  <c r="AE13" i="3"/>
  <c r="AO3" i="3"/>
  <c r="AO4" i="3"/>
  <c r="AO5" i="3"/>
  <c r="AO6" i="3"/>
  <c r="AO7" i="3"/>
  <c r="AO8" i="3"/>
  <c r="AO9" i="3"/>
  <c r="AO10" i="3"/>
  <c r="AO11" i="3"/>
  <c r="AO12" i="3"/>
  <c r="AN3" i="3"/>
  <c r="AN4" i="3"/>
  <c r="AN5" i="3"/>
  <c r="AN6" i="3"/>
  <c r="AN7" i="3"/>
  <c r="AN8" i="3"/>
  <c r="AN9" i="3"/>
  <c r="AN10" i="3"/>
  <c r="AN11" i="3"/>
  <c r="AN12" i="3"/>
  <c r="AM3" i="3"/>
  <c r="AM4" i="3"/>
  <c r="AM5" i="3"/>
  <c r="AM6" i="3"/>
  <c r="AM7" i="3"/>
  <c r="AM8" i="3"/>
  <c r="AM9" i="3"/>
  <c r="AM10" i="3"/>
  <c r="AM11" i="3"/>
  <c r="AM12" i="3"/>
  <c r="AL3" i="3"/>
  <c r="AL4" i="3"/>
  <c r="AL5" i="3"/>
  <c r="AL6" i="3"/>
  <c r="AL7" i="3"/>
  <c r="AL8" i="3"/>
  <c r="AL9" i="3"/>
  <c r="AL10" i="3"/>
  <c r="AL11" i="3"/>
  <c r="AL12" i="3"/>
  <c r="AK3" i="3"/>
  <c r="AK4" i="3"/>
  <c r="AK5" i="3"/>
  <c r="AK6" i="3"/>
  <c r="AK7" i="3"/>
  <c r="AK8" i="3"/>
  <c r="AK9" i="3"/>
  <c r="AK10" i="3"/>
  <c r="AK11" i="3"/>
  <c r="AK12" i="3"/>
  <c r="AJ3" i="3"/>
  <c r="AJ4" i="3"/>
  <c r="AJ5" i="3"/>
  <c r="AJ6" i="3"/>
  <c r="AJ7" i="3"/>
  <c r="AJ8" i="3"/>
  <c r="AJ9" i="3"/>
  <c r="AJ10" i="3"/>
  <c r="AJ11" i="3"/>
  <c r="AJ12" i="3"/>
  <c r="AI3" i="3"/>
  <c r="AI4" i="3"/>
  <c r="AI5" i="3"/>
  <c r="AI6" i="3"/>
  <c r="AI7" i="3"/>
  <c r="AI8" i="3"/>
  <c r="AI9" i="3"/>
  <c r="AI10" i="3"/>
  <c r="AI11" i="3"/>
  <c r="AI12" i="3"/>
  <c r="AH3" i="3"/>
  <c r="AH4" i="3"/>
  <c r="AH5" i="3"/>
  <c r="AH6" i="3"/>
  <c r="AH7" i="3"/>
  <c r="AH8" i="3"/>
  <c r="AH9" i="3"/>
  <c r="AH10" i="3"/>
  <c r="AH11" i="3"/>
  <c r="AH12" i="3"/>
  <c r="AG3" i="3"/>
  <c r="AG4" i="3"/>
  <c r="AG5" i="3"/>
  <c r="AG6" i="3"/>
  <c r="AG7" i="3"/>
  <c r="AG8" i="3"/>
  <c r="AG9" i="3"/>
  <c r="AG10" i="3"/>
  <c r="AG11" i="3"/>
  <c r="AG12" i="3"/>
  <c r="AF3" i="3"/>
  <c r="AF4" i="3"/>
  <c r="AF5" i="3"/>
  <c r="AF6" i="3"/>
  <c r="AF7" i="3"/>
  <c r="AF8" i="3"/>
  <c r="AF9" i="3"/>
  <c r="AF10" i="3"/>
  <c r="AF11" i="3"/>
  <c r="AF12" i="3"/>
  <c r="AE3" i="3"/>
  <c r="AE4" i="3"/>
  <c r="AE5" i="3"/>
  <c r="AE6" i="3"/>
  <c r="AE7" i="3"/>
  <c r="AE8" i="3"/>
  <c r="AE9" i="3"/>
  <c r="AE10" i="3"/>
  <c r="AE11" i="3"/>
  <c r="AE12" i="3"/>
  <c r="AO2" i="3"/>
  <c r="AN2" i="3"/>
  <c r="AM2" i="3"/>
  <c r="AL2" i="3"/>
  <c r="AK2" i="3"/>
  <c r="AJ2" i="3"/>
  <c r="AI2" i="3"/>
  <c r="AH2" i="3"/>
  <c r="AG2" i="3"/>
  <c r="AF2" i="3"/>
  <c r="AE2" i="3"/>
  <c r="AD31" i="3"/>
  <c r="AD32" i="3"/>
  <c r="AD33" i="3"/>
  <c r="AD34" i="3"/>
  <c r="AD35" i="3"/>
  <c r="AD36" i="3"/>
  <c r="AD37" i="3"/>
  <c r="AD38" i="3"/>
  <c r="AD39" i="3"/>
  <c r="AD40" i="3"/>
  <c r="AD41" i="3"/>
  <c r="AD30" i="3"/>
  <c r="AD17" i="3"/>
  <c r="AD18" i="3"/>
  <c r="AD19" i="3"/>
  <c r="AD20" i="3"/>
  <c r="AD21" i="3"/>
  <c r="AD22" i="3"/>
  <c r="AD23" i="3"/>
  <c r="AD24" i="3"/>
  <c r="AD25" i="3"/>
  <c r="AD26" i="3"/>
  <c r="AD27" i="3"/>
  <c r="AD16" i="3"/>
  <c r="AD2" i="3"/>
  <c r="AD5" i="3"/>
  <c r="AD6" i="3"/>
  <c r="AD7" i="3"/>
  <c r="AD8" i="3"/>
  <c r="AD9" i="3"/>
  <c r="AD10" i="3"/>
  <c r="AD11" i="3"/>
  <c r="AD12" i="3"/>
  <c r="AD13" i="3"/>
  <c r="AD3" i="3"/>
  <c r="AD4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M66" i="3"/>
  <c r="L66" i="3"/>
  <c r="K66" i="3"/>
  <c r="J66" i="3"/>
  <c r="I66" i="3"/>
  <c r="H66" i="3"/>
  <c r="G66" i="3"/>
  <c r="F66" i="3"/>
  <c r="E66" i="3"/>
  <c r="D66" i="3"/>
  <c r="C66" i="3"/>
  <c r="B66" i="3"/>
  <c r="E43" i="1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66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M34" i="3"/>
  <c r="L34" i="3"/>
  <c r="K34" i="3"/>
  <c r="J34" i="3"/>
  <c r="I34" i="3"/>
  <c r="H34" i="3"/>
  <c r="G34" i="3"/>
  <c r="F34" i="3"/>
  <c r="E34" i="3"/>
  <c r="D34" i="3"/>
  <c r="C34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35" i="3"/>
  <c r="B34" i="3"/>
  <c r="H43" i="1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34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" i="3"/>
  <c r="A4" i="3"/>
  <c r="A5" i="3"/>
  <c r="A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M2" i="3"/>
  <c r="L2" i="3"/>
  <c r="K2" i="3"/>
  <c r="J2" i="3"/>
  <c r="I2" i="3"/>
  <c r="H2" i="3"/>
  <c r="G2" i="3"/>
  <c r="F2" i="3"/>
  <c r="E2" i="3"/>
  <c r="D2" i="3"/>
  <c r="C2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4" i="3"/>
  <c r="B3" i="3"/>
  <c r="B2" i="3"/>
  <c r="F73" i="1" l="1"/>
  <c r="G73" i="1"/>
  <c r="H73" i="1"/>
  <c r="I73" i="1"/>
  <c r="J73" i="1"/>
  <c r="K73" i="1"/>
  <c r="L73" i="1"/>
  <c r="M73" i="1"/>
  <c r="N73" i="1"/>
  <c r="O73" i="1"/>
  <c r="P73" i="1"/>
  <c r="E73" i="1"/>
  <c r="E72" i="1"/>
  <c r="I42" i="1"/>
  <c r="J42" i="1"/>
  <c r="K42" i="1"/>
  <c r="L42" i="1"/>
  <c r="M42" i="1"/>
  <c r="F42" i="1"/>
  <c r="G42" i="1"/>
  <c r="H42" i="1"/>
  <c r="E42" i="1"/>
  <c r="U33" i="1"/>
  <c r="V33" i="1"/>
  <c r="W33" i="1"/>
  <c r="X33" i="1"/>
  <c r="Y33" i="1"/>
  <c r="Z33" i="1"/>
  <c r="AA33" i="1"/>
  <c r="AB33" i="1"/>
  <c r="AC33" i="1"/>
  <c r="AD33" i="1"/>
  <c r="AE33" i="1"/>
  <c r="T33" i="1"/>
  <c r="T32" i="1"/>
  <c r="N42" i="1"/>
  <c r="O42" i="1"/>
  <c r="P42" i="1"/>
  <c r="E41" i="1"/>
  <c r="E12" i="1"/>
  <c r="N107" i="2" l="1"/>
  <c r="Q107" i="2" s="1"/>
  <c r="N94" i="2"/>
  <c r="Q94" i="2" s="1"/>
  <c r="N93" i="2"/>
  <c r="Q93" i="2" s="1"/>
  <c r="N80" i="2"/>
  <c r="Q80" i="2" s="1"/>
  <c r="N79" i="2"/>
  <c r="O79" i="2" s="1"/>
  <c r="N78" i="2"/>
  <c r="O78" i="2" s="1"/>
  <c r="Q65" i="2"/>
  <c r="O65" i="2"/>
  <c r="N64" i="2"/>
  <c r="Q64" i="2" s="1"/>
  <c r="N63" i="2"/>
  <c r="Q63" i="2" s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F108" i="1"/>
  <c r="E108" i="1"/>
  <c r="E84" i="1"/>
  <c r="N50" i="2"/>
  <c r="O50" i="2" s="1"/>
  <c r="O64" i="2" l="1"/>
  <c r="O94" i="2"/>
  <c r="O63" i="2"/>
  <c r="O80" i="2"/>
  <c r="O107" i="2"/>
  <c r="O93" i="2"/>
  <c r="Q79" i="2"/>
  <c r="Q78" i="2"/>
  <c r="Q50" i="2"/>
  <c r="N38" i="2"/>
  <c r="O38" i="2" s="1"/>
  <c r="Q38" i="2" l="1"/>
  <c r="N2" i="2"/>
  <c r="Q2" i="2" s="1"/>
  <c r="N3" i="2"/>
  <c r="N4" i="2"/>
  <c r="N5" i="2"/>
  <c r="N6" i="2"/>
  <c r="Q6" i="2" s="1"/>
  <c r="N7" i="2"/>
  <c r="N8" i="2"/>
  <c r="N9" i="2"/>
  <c r="Q9" i="2" s="1"/>
  <c r="N10" i="2"/>
  <c r="N11" i="2"/>
  <c r="N12" i="2"/>
  <c r="Q12" i="2" s="1"/>
  <c r="N13" i="2"/>
  <c r="O13" i="2" s="1"/>
  <c r="N14" i="2"/>
  <c r="O14" i="2" s="1"/>
  <c r="N15" i="2"/>
  <c r="Q15" i="2" s="1"/>
  <c r="N16" i="2"/>
  <c r="N17" i="2"/>
  <c r="Q17" i="2" s="1"/>
  <c r="N18" i="2"/>
  <c r="N19" i="2"/>
  <c r="Q19" i="2" s="1"/>
  <c r="N20" i="2"/>
  <c r="N21" i="2"/>
  <c r="N22" i="2"/>
  <c r="N23" i="2"/>
  <c r="Q23" i="2" s="1"/>
  <c r="N24" i="2"/>
  <c r="N25" i="2"/>
  <c r="Q25" i="2" s="1"/>
  <c r="O6" i="2" l="1"/>
  <c r="O19" i="2"/>
  <c r="O25" i="2"/>
  <c r="O15" i="2"/>
  <c r="O9" i="2"/>
  <c r="Q14" i="2"/>
  <c r="O10" i="2"/>
  <c r="Q10" i="2"/>
  <c r="O7" i="2"/>
  <c r="Q7" i="2"/>
  <c r="O4" i="2"/>
  <c r="Q4" i="2"/>
  <c r="O22" i="2"/>
  <c r="Q22" i="2"/>
  <c r="O3" i="2"/>
  <c r="Q3" i="2"/>
  <c r="O24" i="2"/>
  <c r="Q24" i="2"/>
  <c r="O21" i="2"/>
  <c r="Q21" i="2"/>
  <c r="O18" i="2"/>
  <c r="Q18" i="2"/>
  <c r="O2" i="2"/>
  <c r="O16" i="2"/>
  <c r="Q16" i="2"/>
  <c r="Q13" i="2"/>
  <c r="O23" i="2"/>
  <c r="O20" i="2"/>
  <c r="Q20" i="2"/>
  <c r="O17" i="2"/>
  <c r="O11" i="2"/>
  <c r="Q11" i="2"/>
  <c r="O8" i="2"/>
  <c r="Q8" i="2"/>
  <c r="O5" i="2"/>
  <c r="Q5" i="2"/>
  <c r="O12" i="2"/>
  <c r="E144" i="2"/>
  <c r="E132" i="2"/>
  <c r="E120" i="2"/>
  <c r="E108" i="2"/>
  <c r="E94" i="2"/>
  <c r="E80" i="2"/>
  <c r="E64" i="2"/>
  <c r="E50" i="2"/>
  <c r="E38" i="2"/>
  <c r="E26" i="2"/>
  <c r="D144" i="2"/>
  <c r="D132" i="2"/>
  <c r="D120" i="2"/>
  <c r="D108" i="2"/>
  <c r="D94" i="2"/>
  <c r="D80" i="2"/>
  <c r="D50" i="2"/>
  <c r="D64" i="2"/>
  <c r="E14" i="2"/>
  <c r="D38" i="2"/>
  <c r="D26" i="2"/>
  <c r="D14" i="2"/>
  <c r="P63" i="2" l="1"/>
  <c r="R63" i="2" s="1"/>
  <c r="P50" i="2"/>
  <c r="R50" i="2" s="1"/>
  <c r="P80" i="2"/>
  <c r="R80" i="2" s="1"/>
  <c r="P93" i="2"/>
  <c r="R93" i="2" s="1"/>
  <c r="P94" i="2"/>
  <c r="R94" i="2" s="1"/>
  <c r="P107" i="2"/>
  <c r="R107" i="2" s="1"/>
  <c r="P65" i="2"/>
  <c r="R65" i="2" s="1"/>
  <c r="P64" i="2"/>
  <c r="R64" i="2" s="1"/>
  <c r="B159" i="2" s="1"/>
  <c r="P79" i="2"/>
  <c r="R79" i="2" s="1"/>
  <c r="Q159" i="2" s="1"/>
  <c r="P78" i="2"/>
  <c r="R78" i="2" s="1"/>
  <c r="P17" i="2"/>
  <c r="R17" i="2" s="1"/>
  <c r="P21" i="2"/>
  <c r="R21" i="2" s="1"/>
  <c r="P25" i="2"/>
  <c r="P15" i="2"/>
  <c r="R15" i="2" s="1"/>
  <c r="P20" i="2"/>
  <c r="R20" i="2" s="1"/>
  <c r="P14" i="2"/>
  <c r="P16" i="2"/>
  <c r="R16" i="2" s="1"/>
  <c r="P22" i="2"/>
  <c r="R22" i="2" s="1"/>
  <c r="P18" i="2"/>
  <c r="R18" i="2" s="1"/>
  <c r="P19" i="2"/>
  <c r="R19" i="2" s="1"/>
  <c r="P23" i="2"/>
  <c r="R23" i="2" s="1"/>
  <c r="P24" i="2"/>
  <c r="R24" i="2" s="1"/>
  <c r="P38" i="2"/>
  <c r="R38" i="2" s="1"/>
  <c r="E2" i="2"/>
  <c r="D2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32" i="2"/>
  <c r="N143" i="2"/>
  <c r="N142" i="2"/>
  <c r="N141" i="2"/>
  <c r="N140" i="2"/>
  <c r="N139" i="2"/>
  <c r="N138" i="2"/>
  <c r="N137" i="2"/>
  <c r="N136" i="2"/>
  <c r="N135" i="2"/>
  <c r="N134" i="2"/>
  <c r="N133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6" i="2"/>
  <c r="N105" i="2"/>
  <c r="N104" i="2"/>
  <c r="N103" i="2"/>
  <c r="N102" i="2"/>
  <c r="N101" i="2"/>
  <c r="N100" i="2"/>
  <c r="N99" i="2"/>
  <c r="N98" i="2"/>
  <c r="N97" i="2"/>
  <c r="N96" i="2"/>
  <c r="N95" i="2"/>
  <c r="N92" i="2"/>
  <c r="N91" i="2"/>
  <c r="N90" i="2"/>
  <c r="N89" i="2"/>
  <c r="N88" i="2"/>
  <c r="N87" i="2"/>
  <c r="N86" i="2"/>
  <c r="N85" i="2"/>
  <c r="N84" i="2"/>
  <c r="N83" i="2"/>
  <c r="N82" i="2"/>
  <c r="N81" i="2"/>
  <c r="N77" i="2"/>
  <c r="N76" i="2"/>
  <c r="N75" i="2"/>
  <c r="N74" i="2"/>
  <c r="N73" i="2"/>
  <c r="N72" i="2"/>
  <c r="N71" i="2"/>
  <c r="N70" i="2"/>
  <c r="N69" i="2"/>
  <c r="N68" i="2"/>
  <c r="N67" i="2"/>
  <c r="N66" i="2"/>
  <c r="N62" i="2"/>
  <c r="N61" i="2"/>
  <c r="N60" i="2"/>
  <c r="N59" i="2"/>
  <c r="N58" i="2"/>
  <c r="N57" i="2"/>
  <c r="N56" i="2"/>
  <c r="N55" i="2"/>
  <c r="N54" i="2"/>
  <c r="N53" i="2"/>
  <c r="N52" i="2"/>
  <c r="N51" i="2"/>
  <c r="N49" i="2"/>
  <c r="N48" i="2"/>
  <c r="N47" i="2"/>
  <c r="N46" i="2"/>
  <c r="N45" i="2"/>
  <c r="N44" i="2"/>
  <c r="N43" i="2"/>
  <c r="N42" i="2"/>
  <c r="N41" i="2"/>
  <c r="N40" i="2"/>
  <c r="N39" i="2"/>
  <c r="N37" i="2"/>
  <c r="N36" i="2"/>
  <c r="N35" i="2"/>
  <c r="N34" i="2"/>
  <c r="N33" i="2"/>
  <c r="N32" i="2"/>
  <c r="N31" i="2"/>
  <c r="N30" i="2"/>
  <c r="N29" i="2"/>
  <c r="N28" i="2"/>
  <c r="N27" i="2"/>
  <c r="N26" i="2"/>
  <c r="AI3" i="2"/>
  <c r="AI2" i="2"/>
  <c r="E7" i="1"/>
  <c r="E6" i="1"/>
  <c r="F84" i="1"/>
  <c r="G84" i="1"/>
  <c r="H84" i="1"/>
  <c r="I84" i="1"/>
  <c r="J84" i="1"/>
  <c r="K84" i="1"/>
  <c r="L84" i="1"/>
  <c r="M84" i="1"/>
  <c r="N84" i="1"/>
  <c r="O84" i="1"/>
  <c r="P84" i="1"/>
  <c r="P159" i="2" l="1"/>
  <c r="C159" i="2"/>
  <c r="O27" i="2"/>
  <c r="P27" i="2" s="1"/>
  <c r="Q27" i="2"/>
  <c r="O35" i="2"/>
  <c r="P35" i="2" s="1"/>
  <c r="Q35" i="2"/>
  <c r="O40" i="2"/>
  <c r="P40" i="2" s="1"/>
  <c r="Q40" i="2"/>
  <c r="O48" i="2"/>
  <c r="P48" i="2" s="1"/>
  <c r="Q48" i="2"/>
  <c r="O57" i="2"/>
  <c r="P57" i="2" s="1"/>
  <c r="Q57" i="2"/>
  <c r="O61" i="2"/>
  <c r="P61" i="2" s="1"/>
  <c r="Q61" i="2"/>
  <c r="O72" i="2"/>
  <c r="P72" i="2" s="1"/>
  <c r="Q72" i="2"/>
  <c r="O76" i="2"/>
  <c r="P76" i="2" s="1"/>
  <c r="Q76" i="2"/>
  <c r="O87" i="2"/>
  <c r="P87" i="2" s="1"/>
  <c r="Q87" i="2"/>
  <c r="O97" i="2"/>
  <c r="P97" i="2" s="1"/>
  <c r="Q97" i="2"/>
  <c r="O101" i="2"/>
  <c r="P101" i="2" s="1"/>
  <c r="Q101" i="2"/>
  <c r="O110" i="2"/>
  <c r="P110" i="2" s="1"/>
  <c r="Q110" i="2"/>
  <c r="O118" i="2"/>
  <c r="P118" i="2" s="1"/>
  <c r="Q118" i="2"/>
  <c r="O126" i="2"/>
  <c r="P126" i="2" s="1"/>
  <c r="Q126" i="2"/>
  <c r="O130" i="2"/>
  <c r="P130" i="2" s="1"/>
  <c r="Q130" i="2"/>
  <c r="O139" i="2"/>
  <c r="P139" i="2" s="1"/>
  <c r="Q139" i="2"/>
  <c r="O146" i="2"/>
  <c r="P146" i="2" s="1"/>
  <c r="Q146" i="2"/>
  <c r="O150" i="2"/>
  <c r="P150" i="2" s="1"/>
  <c r="Q150" i="2"/>
  <c r="O32" i="2"/>
  <c r="P32" i="2" s="1"/>
  <c r="Q32" i="2"/>
  <c r="O41" i="2"/>
  <c r="P41" i="2" s="1"/>
  <c r="Q41" i="2"/>
  <c r="O49" i="2"/>
  <c r="P49" i="2" s="1"/>
  <c r="Q49" i="2"/>
  <c r="O58" i="2"/>
  <c r="P58" i="2" s="1"/>
  <c r="Q58" i="2"/>
  <c r="O62" i="2"/>
  <c r="P62" i="2" s="1"/>
  <c r="Q62" i="2"/>
  <c r="O73" i="2"/>
  <c r="P73" i="2" s="1"/>
  <c r="Q73" i="2"/>
  <c r="O84" i="2"/>
  <c r="P84" i="2" s="1"/>
  <c r="Q84" i="2"/>
  <c r="O92" i="2"/>
  <c r="P92" i="2" s="1"/>
  <c r="Q92" i="2"/>
  <c r="O98" i="2"/>
  <c r="P98" i="2" s="1"/>
  <c r="Q98" i="2"/>
  <c r="O106" i="2"/>
  <c r="P106" i="2" s="1"/>
  <c r="Q106" i="2"/>
  <c r="O111" i="2"/>
  <c r="P111" i="2" s="1"/>
  <c r="Q111" i="2"/>
  <c r="O115" i="2"/>
  <c r="P115" i="2" s="1"/>
  <c r="Q115" i="2"/>
  <c r="O123" i="2"/>
  <c r="P123" i="2" s="1"/>
  <c r="Q123" i="2"/>
  <c r="O127" i="2"/>
  <c r="P127" i="2" s="1"/>
  <c r="Q127" i="2"/>
  <c r="O131" i="2"/>
  <c r="Q131" i="2"/>
  <c r="O136" i="2"/>
  <c r="P136" i="2" s="1"/>
  <c r="Q136" i="2"/>
  <c r="O140" i="2"/>
  <c r="P140" i="2" s="1"/>
  <c r="Q140" i="2"/>
  <c r="O132" i="2"/>
  <c r="P132" i="2" s="1"/>
  <c r="Q132" i="2"/>
  <c r="O147" i="2"/>
  <c r="P147" i="2" s="1"/>
  <c r="Q147" i="2"/>
  <c r="O151" i="2"/>
  <c r="P151" i="2" s="1"/>
  <c r="Q151" i="2"/>
  <c r="O155" i="2"/>
  <c r="P155" i="2" s="1"/>
  <c r="Q155" i="2"/>
  <c r="O29" i="2"/>
  <c r="P29" i="2" s="1"/>
  <c r="Q29" i="2"/>
  <c r="O33" i="2"/>
  <c r="P33" i="2" s="1"/>
  <c r="Q33" i="2"/>
  <c r="O37" i="2"/>
  <c r="P37" i="2" s="1"/>
  <c r="Q37" i="2"/>
  <c r="O42" i="2"/>
  <c r="P42" i="2" s="1"/>
  <c r="Q42" i="2"/>
  <c r="O46" i="2"/>
  <c r="P46" i="2" s="1"/>
  <c r="Q46" i="2"/>
  <c r="O51" i="2"/>
  <c r="P51" i="2" s="1"/>
  <c r="Q51" i="2"/>
  <c r="O55" i="2"/>
  <c r="P55" i="2" s="1"/>
  <c r="Q55" i="2"/>
  <c r="O59" i="2"/>
  <c r="P59" i="2" s="1"/>
  <c r="Q59" i="2"/>
  <c r="O66" i="2"/>
  <c r="P66" i="2" s="1"/>
  <c r="Q66" i="2"/>
  <c r="O70" i="2"/>
  <c r="P70" i="2" s="1"/>
  <c r="Q70" i="2"/>
  <c r="O74" i="2"/>
  <c r="P74" i="2" s="1"/>
  <c r="Q74" i="2"/>
  <c r="O81" i="2"/>
  <c r="P81" i="2" s="1"/>
  <c r="Q81" i="2"/>
  <c r="O85" i="2"/>
  <c r="P85" i="2" s="1"/>
  <c r="Q85" i="2"/>
  <c r="O89" i="2"/>
  <c r="P89" i="2" s="1"/>
  <c r="Q89" i="2"/>
  <c r="O95" i="2"/>
  <c r="P95" i="2" s="1"/>
  <c r="Q95" i="2"/>
  <c r="O99" i="2"/>
  <c r="P99" i="2" s="1"/>
  <c r="Q99" i="2"/>
  <c r="O103" i="2"/>
  <c r="P103" i="2" s="1"/>
  <c r="Q103" i="2"/>
  <c r="O108" i="2"/>
  <c r="P108" i="2" s="1"/>
  <c r="Q108" i="2"/>
  <c r="O112" i="2"/>
  <c r="P112" i="2" s="1"/>
  <c r="Q112" i="2"/>
  <c r="O116" i="2"/>
  <c r="P116" i="2" s="1"/>
  <c r="Q116" i="2"/>
  <c r="O120" i="2"/>
  <c r="P120" i="2" s="1"/>
  <c r="Q120" i="2"/>
  <c r="O124" i="2"/>
  <c r="P124" i="2" s="1"/>
  <c r="Q124" i="2"/>
  <c r="O128" i="2"/>
  <c r="P128" i="2" s="1"/>
  <c r="Q128" i="2"/>
  <c r="O133" i="2"/>
  <c r="P133" i="2" s="1"/>
  <c r="Q133" i="2"/>
  <c r="O137" i="2"/>
  <c r="P137" i="2" s="1"/>
  <c r="Q137" i="2"/>
  <c r="O141" i="2"/>
  <c r="P141" i="2" s="1"/>
  <c r="Q141" i="2"/>
  <c r="O144" i="2"/>
  <c r="P144" i="2" s="1"/>
  <c r="Q144" i="2"/>
  <c r="O148" i="2"/>
  <c r="P148" i="2" s="1"/>
  <c r="Q148" i="2"/>
  <c r="O152" i="2"/>
  <c r="P152" i="2" s="1"/>
  <c r="Q152" i="2"/>
  <c r="O31" i="2"/>
  <c r="P31" i="2" s="1"/>
  <c r="Q31" i="2"/>
  <c r="O44" i="2"/>
  <c r="P44" i="2" s="1"/>
  <c r="Q44" i="2"/>
  <c r="O53" i="2"/>
  <c r="P53" i="2" s="1"/>
  <c r="Q53" i="2"/>
  <c r="O68" i="2"/>
  <c r="P68" i="2" s="1"/>
  <c r="Q68" i="2"/>
  <c r="O83" i="2"/>
  <c r="P83" i="2" s="1"/>
  <c r="Q83" i="2"/>
  <c r="O91" i="2"/>
  <c r="P91" i="2" s="1"/>
  <c r="Q91" i="2"/>
  <c r="O105" i="2"/>
  <c r="P105" i="2" s="1"/>
  <c r="Q105" i="2"/>
  <c r="O114" i="2"/>
  <c r="P114" i="2" s="1"/>
  <c r="Q114" i="2"/>
  <c r="O122" i="2"/>
  <c r="P122" i="2" s="1"/>
  <c r="Q122" i="2"/>
  <c r="O135" i="2"/>
  <c r="Q135" i="2"/>
  <c r="O143" i="2"/>
  <c r="P143" i="2" s="1"/>
  <c r="Q143" i="2"/>
  <c r="O154" i="2"/>
  <c r="P154" i="2" s="1"/>
  <c r="Q154" i="2"/>
  <c r="O28" i="2"/>
  <c r="P28" i="2" s="1"/>
  <c r="Q28" i="2"/>
  <c r="O36" i="2"/>
  <c r="P36" i="2" s="1"/>
  <c r="Q36" i="2"/>
  <c r="O45" i="2"/>
  <c r="P45" i="2" s="1"/>
  <c r="Q45" i="2"/>
  <c r="O54" i="2"/>
  <c r="P54" i="2" s="1"/>
  <c r="Q54" i="2"/>
  <c r="O69" i="2"/>
  <c r="P69" i="2" s="1"/>
  <c r="Q69" i="2"/>
  <c r="O77" i="2"/>
  <c r="P77" i="2" s="1"/>
  <c r="Q77" i="2"/>
  <c r="O88" i="2"/>
  <c r="P88" i="2" s="1"/>
  <c r="Q88" i="2"/>
  <c r="O102" i="2"/>
  <c r="P102" i="2" s="1"/>
  <c r="Q102" i="2"/>
  <c r="O119" i="2"/>
  <c r="P119" i="2" s="1"/>
  <c r="Q119" i="2"/>
  <c r="O26" i="2"/>
  <c r="P26" i="2" s="1"/>
  <c r="Q26" i="2"/>
  <c r="O30" i="2"/>
  <c r="P30" i="2" s="1"/>
  <c r="Q30" i="2"/>
  <c r="O34" i="2"/>
  <c r="P34" i="2" s="1"/>
  <c r="Q34" i="2"/>
  <c r="O39" i="2"/>
  <c r="P39" i="2" s="1"/>
  <c r="Q39" i="2"/>
  <c r="O43" i="2"/>
  <c r="P43" i="2" s="1"/>
  <c r="Q43" i="2"/>
  <c r="O47" i="2"/>
  <c r="P47" i="2" s="1"/>
  <c r="Q47" i="2"/>
  <c r="O52" i="2"/>
  <c r="P52" i="2" s="1"/>
  <c r="Q52" i="2"/>
  <c r="O56" i="2"/>
  <c r="P56" i="2" s="1"/>
  <c r="Q56" i="2"/>
  <c r="O60" i="2"/>
  <c r="P60" i="2" s="1"/>
  <c r="Q60" i="2"/>
  <c r="O67" i="2"/>
  <c r="P67" i="2" s="1"/>
  <c r="Q67" i="2"/>
  <c r="O71" i="2"/>
  <c r="P71" i="2" s="1"/>
  <c r="Q71" i="2"/>
  <c r="O75" i="2"/>
  <c r="P75" i="2" s="1"/>
  <c r="Q75" i="2"/>
  <c r="O82" i="2"/>
  <c r="P82" i="2" s="1"/>
  <c r="Q82" i="2"/>
  <c r="O86" i="2"/>
  <c r="P86" i="2" s="1"/>
  <c r="Q86" i="2"/>
  <c r="O90" i="2"/>
  <c r="P90" i="2" s="1"/>
  <c r="Q90" i="2"/>
  <c r="O96" i="2"/>
  <c r="P96" i="2" s="1"/>
  <c r="Q96" i="2"/>
  <c r="O100" i="2"/>
  <c r="P100" i="2" s="1"/>
  <c r="Q100" i="2"/>
  <c r="O104" i="2"/>
  <c r="P104" i="2" s="1"/>
  <c r="Q104" i="2"/>
  <c r="O109" i="2"/>
  <c r="P109" i="2" s="1"/>
  <c r="Q109" i="2"/>
  <c r="O113" i="2"/>
  <c r="P113" i="2" s="1"/>
  <c r="Q113" i="2"/>
  <c r="O117" i="2"/>
  <c r="P117" i="2" s="1"/>
  <c r="Q117" i="2"/>
  <c r="O121" i="2"/>
  <c r="P121" i="2" s="1"/>
  <c r="Q121" i="2"/>
  <c r="O125" i="2"/>
  <c r="P125" i="2" s="1"/>
  <c r="Q125" i="2"/>
  <c r="O129" i="2"/>
  <c r="P129" i="2" s="1"/>
  <c r="Q129" i="2"/>
  <c r="O134" i="2"/>
  <c r="P134" i="2" s="1"/>
  <c r="Q134" i="2"/>
  <c r="O138" i="2"/>
  <c r="P138" i="2" s="1"/>
  <c r="Q138" i="2"/>
  <c r="O142" i="2"/>
  <c r="P142" i="2" s="1"/>
  <c r="Q142" i="2"/>
  <c r="O145" i="2"/>
  <c r="P145" i="2" s="1"/>
  <c r="Q145" i="2"/>
  <c r="O149" i="2"/>
  <c r="P149" i="2" s="1"/>
  <c r="Q149" i="2"/>
  <c r="O153" i="2"/>
  <c r="P153" i="2" s="1"/>
  <c r="Q153" i="2"/>
  <c r="P135" i="2"/>
  <c r="P2" i="2"/>
  <c r="P13" i="2"/>
  <c r="P6" i="2"/>
  <c r="R6" i="2" s="1"/>
  <c r="P5" i="2"/>
  <c r="R5" i="2" s="1"/>
  <c r="P10" i="2"/>
  <c r="R10" i="2" s="1"/>
  <c r="P9" i="2"/>
  <c r="R9" i="2" s="1"/>
  <c r="P4" i="2"/>
  <c r="R4" i="2" s="1"/>
  <c r="P7" i="2"/>
  <c r="R7" i="2" s="1"/>
  <c r="P12" i="2"/>
  <c r="P11" i="2"/>
  <c r="R11" i="2" s="1"/>
  <c r="P8" i="2"/>
  <c r="R8" i="2" s="1"/>
  <c r="P3" i="2"/>
  <c r="P131" i="2"/>
  <c r="E77" i="1"/>
  <c r="D43" i="1"/>
  <c r="D12" i="1"/>
  <c r="S3" i="1"/>
  <c r="R135" i="2" l="1"/>
  <c r="R108" i="2"/>
  <c r="R81" i="2"/>
  <c r="R70" i="2"/>
  <c r="R51" i="2"/>
  <c r="R42" i="2"/>
  <c r="R147" i="2"/>
  <c r="R140" i="2"/>
  <c r="R98" i="2"/>
  <c r="R84" i="2"/>
  <c r="R49" i="2"/>
  <c r="R32" i="2"/>
  <c r="R146" i="2"/>
  <c r="R118" i="2"/>
  <c r="R40" i="2"/>
  <c r="R27" i="2"/>
  <c r="R123" i="2"/>
  <c r="R138" i="2"/>
  <c r="R119" i="2"/>
  <c r="R30" i="2"/>
  <c r="R105" i="2"/>
  <c r="R28" i="2"/>
  <c r="R39" i="2"/>
  <c r="R148" i="2"/>
  <c r="R124" i="2"/>
  <c r="R141" i="2"/>
  <c r="R101" i="2"/>
  <c r="R111" i="2"/>
  <c r="R57" i="2"/>
  <c r="R99" i="2"/>
  <c r="R41" i="2"/>
  <c r="R109" i="2"/>
  <c r="R149" i="2"/>
  <c r="R134" i="2"/>
  <c r="R100" i="2"/>
  <c r="R82" i="2"/>
  <c r="R43" i="2"/>
  <c r="R26" i="2"/>
  <c r="R54" i="2"/>
  <c r="R114" i="2"/>
  <c r="R68" i="2"/>
  <c r="R137" i="2"/>
  <c r="R112" i="2"/>
  <c r="R95" i="2"/>
  <c r="R55" i="2"/>
  <c r="R110" i="2"/>
  <c r="R60" i="2"/>
  <c r="R58" i="2"/>
  <c r="R125" i="2"/>
  <c r="R71" i="2"/>
  <c r="R52" i="2"/>
  <c r="R44" i="2"/>
  <c r="R85" i="2"/>
  <c r="R66" i="2"/>
  <c r="R29" i="2"/>
  <c r="R136" i="2"/>
  <c r="R150" i="2"/>
  <c r="R126" i="2"/>
  <c r="R97" i="2"/>
  <c r="R113" i="2"/>
  <c r="R96" i="2"/>
  <c r="R56" i="2"/>
  <c r="R121" i="2"/>
  <c r="R104" i="2"/>
  <c r="R86" i="2"/>
  <c r="R67" i="2"/>
  <c r="R69" i="2"/>
  <c r="R122" i="2"/>
  <c r="R83" i="2"/>
  <c r="R53" i="2"/>
  <c r="R31" i="2"/>
  <c r="R87" i="2"/>
  <c r="R72" i="2"/>
  <c r="R151" i="2"/>
  <c r="R152" i="2"/>
  <c r="R153" i="2"/>
  <c r="R139" i="2"/>
  <c r="R129" i="2"/>
  <c r="R130" i="2"/>
  <c r="R128" i="2"/>
  <c r="R127" i="2"/>
  <c r="R116" i="2"/>
  <c r="R117" i="2"/>
  <c r="R115" i="2"/>
  <c r="R103" i="2"/>
  <c r="R106" i="2"/>
  <c r="R102" i="2"/>
  <c r="R88" i="2"/>
  <c r="R90" i="2"/>
  <c r="R91" i="2"/>
  <c r="R92" i="2"/>
  <c r="R89" i="2"/>
  <c r="R75" i="2"/>
  <c r="R74" i="2"/>
  <c r="R76" i="2"/>
  <c r="R77" i="2"/>
  <c r="R73" i="2"/>
  <c r="R59" i="2"/>
  <c r="R62" i="2"/>
  <c r="R61" i="2"/>
  <c r="R47" i="2"/>
  <c r="R46" i="2"/>
  <c r="R48" i="2"/>
  <c r="R45" i="2"/>
  <c r="R33" i="2"/>
  <c r="R34" i="2"/>
  <c r="R36" i="2"/>
  <c r="R37" i="2"/>
  <c r="O159" i="2" s="1"/>
  <c r="R35" i="2"/>
  <c r="S4" i="1"/>
  <c r="B13" i="1"/>
  <c r="F6" i="1"/>
  <c r="G6" i="1"/>
  <c r="H6" i="1"/>
  <c r="I6" i="1"/>
  <c r="J6" i="1"/>
  <c r="K6" i="1"/>
  <c r="L6" i="1"/>
  <c r="M6" i="1"/>
  <c r="N6" i="1"/>
  <c r="O6" i="1"/>
  <c r="P6" i="1"/>
  <c r="P3" i="1"/>
  <c r="O3" i="1"/>
  <c r="N3" i="1"/>
  <c r="M3" i="1"/>
  <c r="L3" i="1"/>
  <c r="K3" i="1"/>
  <c r="J3" i="1"/>
  <c r="I3" i="1"/>
  <c r="H3" i="1"/>
  <c r="G3" i="1"/>
  <c r="F3" i="1"/>
  <c r="E3" i="1"/>
  <c r="N159" i="2" l="1"/>
  <c r="L159" i="2"/>
  <c r="M159" i="2"/>
  <c r="K159" i="2"/>
  <c r="J159" i="2"/>
  <c r="I159" i="2"/>
  <c r="H159" i="2"/>
  <c r="G159" i="2"/>
  <c r="F159" i="2"/>
  <c r="E159" i="2"/>
  <c r="D159" i="2"/>
  <c r="AC3" i="1"/>
  <c r="N12" i="1" s="1"/>
  <c r="AB3" i="1"/>
  <c r="AC4" i="1"/>
  <c r="N13" i="1" s="1"/>
  <c r="AA3" i="1"/>
  <c r="L12" i="1" s="1"/>
  <c r="AB4" i="1"/>
  <c r="M13" i="1" s="1"/>
  <c r="W3" i="1"/>
  <c r="AA4" i="1"/>
  <c r="L13" i="1" s="1"/>
  <c r="K7" i="1"/>
  <c r="Z4" i="1"/>
  <c r="K13" i="1" s="1"/>
  <c r="Y5" i="1"/>
  <c r="Y4" i="1"/>
  <c r="X5" i="1"/>
  <c r="Y3" i="1"/>
  <c r="X4" i="1"/>
  <c r="I13" i="1" s="1"/>
  <c r="W5" i="1"/>
  <c r="W4" i="1"/>
  <c r="H13" i="1" s="1"/>
  <c r="V5" i="1"/>
  <c r="G7" i="1"/>
  <c r="V4" i="1"/>
  <c r="U5" i="1"/>
  <c r="U3" i="1"/>
  <c r="T3" i="1"/>
  <c r="U4" i="1"/>
  <c r="F13" i="1" s="1"/>
  <c r="T5" i="1"/>
  <c r="E8" i="1"/>
  <c r="E9" i="1" s="1"/>
  <c r="E10" i="1" s="1"/>
  <c r="D13" i="1"/>
  <c r="D44" i="1"/>
  <c r="O13" i="1"/>
  <c r="P13" i="1"/>
  <c r="G13" i="1"/>
  <c r="T4" i="1"/>
  <c r="AE5" i="1"/>
  <c r="X3" i="1"/>
  <c r="I12" i="1" s="1"/>
  <c r="P12" i="1"/>
  <c r="B14" i="1"/>
  <c r="AB5" i="1" s="1"/>
  <c r="AE4" i="1"/>
  <c r="AD5" i="1"/>
  <c r="O7" i="1"/>
  <c r="AE3" i="1"/>
  <c r="AD4" i="1"/>
  <c r="AC5" i="1"/>
  <c r="N7" i="1"/>
  <c r="AD3" i="1"/>
  <c r="O12" i="1" s="1"/>
  <c r="Z3" i="1"/>
  <c r="V3" i="1"/>
  <c r="G12" i="1" s="1"/>
  <c r="M7" i="1"/>
  <c r="J7" i="1"/>
  <c r="I7" i="1"/>
  <c r="F7" i="1"/>
  <c r="P7" i="1"/>
  <c r="L7" i="1"/>
  <c r="H7" i="1"/>
  <c r="H12" i="1" s="1"/>
  <c r="G8" i="1"/>
  <c r="G9" i="1" s="1"/>
  <c r="G10" i="1" s="1"/>
  <c r="G11" i="1" s="1"/>
  <c r="O85" i="1" l="1"/>
  <c r="O82" i="1"/>
  <c r="O86" i="1"/>
  <c r="O8" i="1"/>
  <c r="O9" i="1" s="1"/>
  <c r="O10" i="1" s="1"/>
  <c r="M8" i="1"/>
  <c r="M9" i="1" s="1"/>
  <c r="M10" i="1" s="1"/>
  <c r="M85" i="1"/>
  <c r="M86" i="1"/>
  <c r="M82" i="1"/>
  <c r="M12" i="1"/>
  <c r="I85" i="1"/>
  <c r="I82" i="1"/>
  <c r="I86" i="1"/>
  <c r="E82" i="1"/>
  <c r="E86" i="1"/>
  <c r="E85" i="1"/>
  <c r="F86" i="1"/>
  <c r="F85" i="1"/>
  <c r="F82" i="1"/>
  <c r="E13" i="1"/>
  <c r="G86" i="1"/>
  <c r="G82" i="1"/>
  <c r="G85" i="1"/>
  <c r="J8" i="1"/>
  <c r="J9" i="1" s="1"/>
  <c r="J10" i="1" s="1"/>
  <c r="J85" i="1"/>
  <c r="J82" i="1"/>
  <c r="J86" i="1"/>
  <c r="G44" i="1"/>
  <c r="AA5" i="1"/>
  <c r="L14" i="1" s="1"/>
  <c r="K85" i="1"/>
  <c r="K82" i="1"/>
  <c r="K86" i="1"/>
  <c r="K12" i="1"/>
  <c r="J12" i="1"/>
  <c r="N82" i="1"/>
  <c r="N86" i="1"/>
  <c r="N85" i="1"/>
  <c r="F12" i="1"/>
  <c r="L8" i="1"/>
  <c r="L9" i="1" s="1"/>
  <c r="L85" i="1"/>
  <c r="L82" i="1"/>
  <c r="L86" i="1"/>
  <c r="P85" i="1"/>
  <c r="P82" i="1"/>
  <c r="P86" i="1"/>
  <c r="B15" i="1"/>
  <c r="I14" i="1"/>
  <c r="K14" i="1"/>
  <c r="M14" i="1"/>
  <c r="D14" i="1"/>
  <c r="O14" i="1"/>
  <c r="G14" i="1"/>
  <c r="G45" i="1" s="1"/>
  <c r="D45" i="1"/>
  <c r="P14" i="1"/>
  <c r="H14" i="1"/>
  <c r="E14" i="1"/>
  <c r="F14" i="1"/>
  <c r="N14" i="1"/>
  <c r="J14" i="1"/>
  <c r="S5" i="1"/>
  <c r="Z5" i="1"/>
  <c r="J13" i="1"/>
  <c r="G43" i="1"/>
  <c r="H8" i="1"/>
  <c r="H9" i="1" s="1"/>
  <c r="H10" i="1" s="1"/>
  <c r="H86" i="1"/>
  <c r="H85" i="1"/>
  <c r="H82" i="1"/>
  <c r="K8" i="1"/>
  <c r="K9" i="1" s="1"/>
  <c r="K10" i="1" s="1"/>
  <c r="N8" i="1"/>
  <c r="N9" i="1" s="1"/>
  <c r="N10" i="1" s="1"/>
  <c r="E11" i="1"/>
  <c r="F8" i="1"/>
  <c r="F9" i="1" s="1"/>
  <c r="F10" i="1" s="1"/>
  <c r="L10" i="1"/>
  <c r="I8" i="1"/>
  <c r="I9" i="1" s="1"/>
  <c r="I10" i="1" s="1"/>
  <c r="P8" i="1"/>
  <c r="P9" i="1" s="1"/>
  <c r="P10" i="1" s="1"/>
  <c r="E45" i="1" l="1"/>
  <c r="E44" i="1"/>
  <c r="H11" i="1"/>
  <c r="H45" i="1"/>
  <c r="H44" i="1"/>
  <c r="P11" i="1"/>
  <c r="P44" i="1" s="1"/>
  <c r="M11" i="1"/>
  <c r="M44" i="1" s="1"/>
  <c r="M43" i="1"/>
  <c r="M45" i="1"/>
  <c r="F11" i="1"/>
  <c r="F45" i="1" s="1"/>
  <c r="I11" i="1"/>
  <c r="I43" i="1" s="1"/>
  <c r="I44" i="1"/>
  <c r="I45" i="1"/>
  <c r="B16" i="1"/>
  <c r="M15" i="1"/>
  <c r="M46" i="1" s="1"/>
  <c r="N15" i="1"/>
  <c r="N46" i="1" s="1"/>
  <c r="O15" i="1"/>
  <c r="D15" i="1"/>
  <c r="D46" i="1"/>
  <c r="S6" i="1"/>
  <c r="AD6" i="1"/>
  <c r="AE6" i="1"/>
  <c r="P15" i="1" s="1"/>
  <c r="P46" i="1" s="1"/>
  <c r="V6" i="1"/>
  <c r="G15" i="1" s="1"/>
  <c r="G46" i="1" s="1"/>
  <c r="Y6" i="1"/>
  <c r="J15" i="1" s="1"/>
  <c r="J46" i="1" s="1"/>
  <c r="X6" i="1"/>
  <c r="I15" i="1" s="1"/>
  <c r="I46" i="1" s="1"/>
  <c r="T6" i="1"/>
  <c r="E15" i="1" s="1"/>
  <c r="E46" i="1" s="1"/>
  <c r="AA6" i="1"/>
  <c r="L15" i="1" s="1"/>
  <c r="L46" i="1" s="1"/>
  <c r="U6" i="1"/>
  <c r="F15" i="1" s="1"/>
  <c r="F46" i="1" s="1"/>
  <c r="AC6" i="1"/>
  <c r="AB6" i="1"/>
  <c r="Z6" i="1"/>
  <c r="K15" i="1" s="1"/>
  <c r="K46" i="1" s="1"/>
  <c r="W6" i="1"/>
  <c r="H15" i="1" s="1"/>
  <c r="H46" i="1" s="1"/>
  <c r="N11" i="1"/>
  <c r="N43" i="1" s="1"/>
  <c r="N44" i="1"/>
  <c r="N45" i="1"/>
  <c r="O11" i="1"/>
  <c r="O45" i="1"/>
  <c r="O46" i="1"/>
  <c r="O44" i="1"/>
  <c r="O43" i="1"/>
  <c r="K11" i="1"/>
  <c r="K43" i="1" s="1"/>
  <c r="K44" i="1"/>
  <c r="L11" i="1"/>
  <c r="L45" i="1"/>
  <c r="L44" i="1"/>
  <c r="L43" i="1"/>
  <c r="J11" i="1"/>
  <c r="J44" i="1" s="1"/>
  <c r="J43" i="1"/>
  <c r="F43" i="1" l="1"/>
  <c r="F44" i="1"/>
  <c r="P45" i="1"/>
  <c r="P43" i="1"/>
  <c r="K45" i="1"/>
  <c r="B17" i="1"/>
  <c r="D47" i="1"/>
  <c r="K16" i="1"/>
  <c r="K47" i="1" s="1"/>
  <c r="F16" i="1"/>
  <c r="F47" i="1" s="1"/>
  <c r="D16" i="1"/>
  <c r="S7" i="1"/>
  <c r="AC7" i="1"/>
  <c r="N16" i="1" s="1"/>
  <c r="N47" i="1" s="1"/>
  <c r="AE7" i="1"/>
  <c r="P16" i="1" s="1"/>
  <c r="P47" i="1" s="1"/>
  <c r="AD7" i="1"/>
  <c r="O16" i="1" s="1"/>
  <c r="O47" i="1" s="1"/>
  <c r="AB7" i="1"/>
  <c r="M16" i="1" s="1"/>
  <c r="M47" i="1" s="1"/>
  <c r="AA7" i="1"/>
  <c r="L16" i="1" s="1"/>
  <c r="L47" i="1" s="1"/>
  <c r="Z7" i="1"/>
  <c r="T7" i="1"/>
  <c r="E16" i="1" s="1"/>
  <c r="E47" i="1" s="1"/>
  <c r="X7" i="1"/>
  <c r="I16" i="1" s="1"/>
  <c r="I47" i="1" s="1"/>
  <c r="V7" i="1"/>
  <c r="G16" i="1" s="1"/>
  <c r="G47" i="1" s="1"/>
  <c r="U7" i="1"/>
  <c r="Y7" i="1"/>
  <c r="J16" i="1" s="1"/>
  <c r="J47" i="1" s="1"/>
  <c r="W7" i="1"/>
  <c r="H16" i="1" s="1"/>
  <c r="H47" i="1" s="1"/>
  <c r="J45" i="1"/>
  <c r="B18" i="1" l="1"/>
  <c r="D17" i="1"/>
  <c r="D48" i="1"/>
  <c r="H17" i="1"/>
  <c r="H48" i="1" s="1"/>
  <c r="G17" i="1"/>
  <c r="G48" i="1" s="1"/>
  <c r="S8" i="1"/>
  <c r="X8" i="1"/>
  <c r="I17" i="1" s="1"/>
  <c r="I48" i="1" s="1"/>
  <c r="V8" i="1"/>
  <c r="W8" i="1"/>
  <c r="Y8" i="1"/>
  <c r="J17" i="1" s="1"/>
  <c r="J48" i="1" s="1"/>
  <c r="AD8" i="1"/>
  <c r="O17" i="1" s="1"/>
  <c r="O48" i="1" s="1"/>
  <c r="AC8" i="1"/>
  <c r="N17" i="1" s="1"/>
  <c r="N48" i="1" s="1"/>
  <c r="AA8" i="1"/>
  <c r="L17" i="1" s="1"/>
  <c r="L48" i="1" s="1"/>
  <c r="AE8" i="1"/>
  <c r="P17" i="1" s="1"/>
  <c r="P48" i="1" s="1"/>
  <c r="Z8" i="1"/>
  <c r="K17" i="1" s="1"/>
  <c r="K48" i="1" s="1"/>
  <c r="U8" i="1"/>
  <c r="F17" i="1" s="1"/>
  <c r="F48" i="1" s="1"/>
  <c r="T8" i="1"/>
  <c r="E17" i="1" s="1"/>
  <c r="E48" i="1" s="1"/>
  <c r="AB8" i="1"/>
  <c r="M17" i="1" s="1"/>
  <c r="M48" i="1" s="1"/>
  <c r="B19" i="1" l="1"/>
  <c r="F18" i="1"/>
  <c r="F49" i="1" s="1"/>
  <c r="D18" i="1"/>
  <c r="D49" i="1"/>
  <c r="I18" i="1"/>
  <c r="I49" i="1" s="1"/>
  <c r="O18" i="1"/>
  <c r="O49" i="1" s="1"/>
  <c r="G18" i="1"/>
  <c r="G49" i="1" s="1"/>
  <c r="S9" i="1"/>
  <c r="W9" i="1"/>
  <c r="H18" i="1" s="1"/>
  <c r="H49" i="1" s="1"/>
  <c r="U9" i="1"/>
  <c r="V9" i="1"/>
  <c r="AD9" i="1"/>
  <c r="AC9" i="1"/>
  <c r="N18" i="1" s="1"/>
  <c r="N49" i="1" s="1"/>
  <c r="AB9" i="1"/>
  <c r="M18" i="1" s="1"/>
  <c r="M49" i="1" s="1"/>
  <c r="Z9" i="1"/>
  <c r="K18" i="1" s="1"/>
  <c r="K49" i="1" s="1"/>
  <c r="AA9" i="1"/>
  <c r="L18" i="1" s="1"/>
  <c r="L49" i="1" s="1"/>
  <c r="T9" i="1"/>
  <c r="E18" i="1" s="1"/>
  <c r="E49" i="1" s="1"/>
  <c r="AE9" i="1"/>
  <c r="P18" i="1" s="1"/>
  <c r="P49" i="1" s="1"/>
  <c r="X9" i="1"/>
  <c r="Y9" i="1"/>
  <c r="J18" i="1" s="1"/>
  <c r="J49" i="1" s="1"/>
  <c r="B20" i="1" l="1"/>
  <c r="D50" i="1"/>
  <c r="K19" i="1"/>
  <c r="K50" i="1" s="1"/>
  <c r="O19" i="1"/>
  <c r="O50" i="1" s="1"/>
  <c r="D19" i="1"/>
  <c r="S10" i="1"/>
  <c r="AD10" i="1"/>
  <c r="U10" i="1"/>
  <c r="F19" i="1" s="1"/>
  <c r="F50" i="1" s="1"/>
  <c r="AC10" i="1"/>
  <c r="N19" i="1" s="1"/>
  <c r="N50" i="1" s="1"/>
  <c r="AB10" i="1"/>
  <c r="M19" i="1" s="1"/>
  <c r="M50" i="1" s="1"/>
  <c r="AA10" i="1"/>
  <c r="L19" i="1" s="1"/>
  <c r="L50" i="1" s="1"/>
  <c r="Y10" i="1"/>
  <c r="J19" i="1" s="1"/>
  <c r="J50" i="1" s="1"/>
  <c r="X10" i="1"/>
  <c r="I19" i="1" s="1"/>
  <c r="I50" i="1" s="1"/>
  <c r="W10" i="1"/>
  <c r="H19" i="1" s="1"/>
  <c r="H50" i="1" s="1"/>
  <c r="Z10" i="1"/>
  <c r="T10" i="1"/>
  <c r="E19" i="1" s="1"/>
  <c r="E50" i="1" s="1"/>
  <c r="AE10" i="1"/>
  <c r="P19" i="1" s="1"/>
  <c r="P50" i="1" s="1"/>
  <c r="V10" i="1"/>
  <c r="G19" i="1" s="1"/>
  <c r="G50" i="1" s="1"/>
  <c r="B21" i="1" l="1"/>
  <c r="D20" i="1"/>
  <c r="O20" i="1"/>
  <c r="O51" i="1" s="1"/>
  <c r="P20" i="1"/>
  <c r="P51" i="1" s="1"/>
  <c r="G20" i="1"/>
  <c r="G51" i="1" s="1"/>
  <c r="D51" i="1"/>
  <c r="S11" i="1"/>
  <c r="AD11" i="1"/>
  <c r="AC11" i="1"/>
  <c r="N20" i="1" s="1"/>
  <c r="N51" i="1" s="1"/>
  <c r="AE11" i="1"/>
  <c r="U11" i="1"/>
  <c r="F20" i="1" s="1"/>
  <c r="F51" i="1" s="1"/>
  <c r="AA11" i="1"/>
  <c r="L20" i="1" s="1"/>
  <c r="L51" i="1" s="1"/>
  <c r="Z11" i="1"/>
  <c r="K20" i="1" s="1"/>
  <c r="K51" i="1" s="1"/>
  <c r="T11" i="1"/>
  <c r="E20" i="1" s="1"/>
  <c r="E51" i="1" s="1"/>
  <c r="X11" i="1"/>
  <c r="I20" i="1" s="1"/>
  <c r="I51" i="1" s="1"/>
  <c r="W11" i="1"/>
  <c r="H20" i="1" s="1"/>
  <c r="H51" i="1" s="1"/>
  <c r="V11" i="1"/>
  <c r="Y11" i="1"/>
  <c r="J20" i="1" s="1"/>
  <c r="J51" i="1" s="1"/>
  <c r="AB11" i="1"/>
  <c r="M20" i="1" s="1"/>
  <c r="M51" i="1" s="1"/>
  <c r="B22" i="1" l="1"/>
  <c r="D52" i="1"/>
  <c r="N21" i="1"/>
  <c r="N52" i="1" s="1"/>
  <c r="H21" i="1"/>
  <c r="H52" i="1" s="1"/>
  <c r="D21" i="1"/>
  <c r="S12" i="1"/>
  <c r="X12" i="1"/>
  <c r="I21" i="1" s="1"/>
  <c r="I52" i="1" s="1"/>
  <c r="AC12" i="1"/>
  <c r="AB12" i="1"/>
  <c r="M21" i="1" s="1"/>
  <c r="M52" i="1" s="1"/>
  <c r="AD12" i="1"/>
  <c r="O21" i="1" s="1"/>
  <c r="O52" i="1" s="1"/>
  <c r="Z12" i="1"/>
  <c r="K21" i="1" s="1"/>
  <c r="K52" i="1" s="1"/>
  <c r="Y12" i="1"/>
  <c r="J21" i="1" s="1"/>
  <c r="J52" i="1" s="1"/>
  <c r="AE12" i="1"/>
  <c r="P21" i="1" s="1"/>
  <c r="P52" i="1" s="1"/>
  <c r="AA12" i="1"/>
  <c r="L21" i="1" s="1"/>
  <c r="L52" i="1" s="1"/>
  <c r="W12" i="1"/>
  <c r="T12" i="1"/>
  <c r="E21" i="1" s="1"/>
  <c r="E52" i="1" s="1"/>
  <c r="V12" i="1"/>
  <c r="G21" i="1" s="1"/>
  <c r="G52" i="1" s="1"/>
  <c r="U12" i="1"/>
  <c r="F21" i="1" s="1"/>
  <c r="F52" i="1" s="1"/>
  <c r="B23" i="1" l="1"/>
  <c r="D22" i="1"/>
  <c r="K22" i="1"/>
  <c r="K53" i="1" s="1"/>
  <c r="D53" i="1"/>
  <c r="M22" i="1"/>
  <c r="M53" i="1" s="1"/>
  <c r="O22" i="1"/>
  <c r="O53" i="1" s="1"/>
  <c r="S13" i="1"/>
  <c r="U13" i="1"/>
  <c r="F22" i="1" s="1"/>
  <c r="F53" i="1" s="1"/>
  <c r="Y13" i="1"/>
  <c r="J22" i="1" s="1"/>
  <c r="J53" i="1" s="1"/>
  <c r="W13" i="1"/>
  <c r="H22" i="1" s="1"/>
  <c r="H53" i="1" s="1"/>
  <c r="X13" i="1"/>
  <c r="I22" i="1" s="1"/>
  <c r="I53" i="1" s="1"/>
  <c r="V13" i="1"/>
  <c r="G22" i="1" s="1"/>
  <c r="G53" i="1" s="1"/>
  <c r="AA13" i="1"/>
  <c r="L22" i="1" s="1"/>
  <c r="L53" i="1" s="1"/>
  <c r="AC13" i="1"/>
  <c r="N22" i="1" s="1"/>
  <c r="N53" i="1" s="1"/>
  <c r="T13" i="1"/>
  <c r="E22" i="1" s="1"/>
  <c r="E53" i="1" s="1"/>
  <c r="AE13" i="1"/>
  <c r="P22" i="1" s="1"/>
  <c r="P53" i="1" s="1"/>
  <c r="AD13" i="1"/>
  <c r="Z13" i="1"/>
  <c r="AB13" i="1"/>
  <c r="B24" i="1" l="1"/>
  <c r="D23" i="1"/>
  <c r="D54" i="1"/>
  <c r="P23" i="1"/>
  <c r="P54" i="1" s="1"/>
  <c r="G23" i="1"/>
  <c r="G54" i="1" s="1"/>
  <c r="S14" i="1"/>
  <c r="AE14" i="1"/>
  <c r="V14" i="1"/>
  <c r="AA14" i="1"/>
  <c r="L23" i="1" s="1"/>
  <c r="L54" i="1" s="1"/>
  <c r="T14" i="1"/>
  <c r="E23" i="1" s="1"/>
  <c r="E54" i="1" s="1"/>
  <c r="Z14" i="1"/>
  <c r="K23" i="1" s="1"/>
  <c r="K54" i="1" s="1"/>
  <c r="AD14" i="1"/>
  <c r="O23" i="1" s="1"/>
  <c r="O54" i="1" s="1"/>
  <c r="AB14" i="1"/>
  <c r="M23" i="1" s="1"/>
  <c r="M54" i="1" s="1"/>
  <c r="AC14" i="1"/>
  <c r="N23" i="1" s="1"/>
  <c r="N54" i="1" s="1"/>
  <c r="Y14" i="1"/>
  <c r="J23" i="1" s="1"/>
  <c r="J54" i="1" s="1"/>
  <c r="U14" i="1"/>
  <c r="F23" i="1" s="1"/>
  <c r="F54" i="1" s="1"/>
  <c r="X14" i="1"/>
  <c r="I23" i="1" s="1"/>
  <c r="I54" i="1" s="1"/>
  <c r="W14" i="1"/>
  <c r="H23" i="1" s="1"/>
  <c r="H54" i="1" s="1"/>
  <c r="B25" i="1" l="1"/>
  <c r="D24" i="1"/>
  <c r="M24" i="1"/>
  <c r="M55" i="1" s="1"/>
  <c r="D55" i="1"/>
  <c r="P24" i="1"/>
  <c r="P55" i="1" s="1"/>
  <c r="S15" i="1"/>
  <c r="AB15" i="1"/>
  <c r="X15" i="1"/>
  <c r="I24" i="1" s="1"/>
  <c r="I55" i="1" s="1"/>
  <c r="AE15" i="1"/>
  <c r="AD15" i="1"/>
  <c r="O24" i="1" s="1"/>
  <c r="O55" i="1" s="1"/>
  <c r="AC15" i="1"/>
  <c r="N24" i="1" s="1"/>
  <c r="N55" i="1" s="1"/>
  <c r="U15" i="1"/>
  <c r="F24" i="1" s="1"/>
  <c r="F55" i="1" s="1"/>
  <c r="T15" i="1"/>
  <c r="E24" i="1" s="1"/>
  <c r="E55" i="1" s="1"/>
  <c r="Z15" i="1"/>
  <c r="K24" i="1" s="1"/>
  <c r="K55" i="1" s="1"/>
  <c r="Y15" i="1"/>
  <c r="J24" i="1" s="1"/>
  <c r="J55" i="1" s="1"/>
  <c r="W15" i="1"/>
  <c r="H24" i="1" s="1"/>
  <c r="H55" i="1" s="1"/>
  <c r="V15" i="1"/>
  <c r="G24" i="1" s="1"/>
  <c r="G55" i="1" s="1"/>
  <c r="AA15" i="1"/>
  <c r="L24" i="1" s="1"/>
  <c r="L55" i="1" s="1"/>
  <c r="B26" i="1" l="1"/>
  <c r="L25" i="1"/>
  <c r="L56" i="1" s="1"/>
  <c r="D25" i="1"/>
  <c r="D56" i="1"/>
  <c r="O25" i="1"/>
  <c r="O56" i="1" s="1"/>
  <c r="S16" i="1"/>
  <c r="AD16" i="1"/>
  <c r="AC16" i="1"/>
  <c r="N25" i="1" s="1"/>
  <c r="N56" i="1" s="1"/>
  <c r="Z16" i="1"/>
  <c r="K25" i="1" s="1"/>
  <c r="K56" i="1" s="1"/>
  <c r="AB16" i="1"/>
  <c r="M25" i="1" s="1"/>
  <c r="M56" i="1" s="1"/>
  <c r="Y16" i="1"/>
  <c r="J25" i="1" s="1"/>
  <c r="J56" i="1" s="1"/>
  <c r="AE16" i="1"/>
  <c r="P25" i="1" s="1"/>
  <c r="P56" i="1" s="1"/>
  <c r="T16" i="1"/>
  <c r="E25" i="1" s="1"/>
  <c r="E56" i="1" s="1"/>
  <c r="V16" i="1"/>
  <c r="G25" i="1" s="1"/>
  <c r="G56" i="1" s="1"/>
  <c r="U16" i="1"/>
  <c r="F25" i="1" s="1"/>
  <c r="F56" i="1" s="1"/>
  <c r="AA16" i="1"/>
  <c r="W16" i="1"/>
  <c r="H25" i="1" s="1"/>
  <c r="H56" i="1" s="1"/>
  <c r="X16" i="1"/>
  <c r="I25" i="1" s="1"/>
  <c r="I56" i="1" s="1"/>
  <c r="B27" i="1" l="1"/>
  <c r="L26" i="1"/>
  <c r="L57" i="1" s="1"/>
  <c r="D26" i="1"/>
  <c r="D57" i="1"/>
  <c r="S17" i="1"/>
  <c r="Z17" i="1"/>
  <c r="K26" i="1" s="1"/>
  <c r="K57" i="1" s="1"/>
  <c r="X17" i="1"/>
  <c r="I26" i="1" s="1"/>
  <c r="I57" i="1" s="1"/>
  <c r="V17" i="1"/>
  <c r="G26" i="1" s="1"/>
  <c r="G57" i="1" s="1"/>
  <c r="AC17" i="1"/>
  <c r="N26" i="1" s="1"/>
  <c r="N57" i="1" s="1"/>
  <c r="AB17" i="1"/>
  <c r="M26" i="1" s="1"/>
  <c r="M57" i="1" s="1"/>
  <c r="AE17" i="1"/>
  <c r="P26" i="1" s="1"/>
  <c r="P57" i="1" s="1"/>
  <c r="W17" i="1"/>
  <c r="H26" i="1" s="1"/>
  <c r="H57" i="1" s="1"/>
  <c r="AD17" i="1"/>
  <c r="O26" i="1" s="1"/>
  <c r="O57" i="1" s="1"/>
  <c r="T17" i="1"/>
  <c r="E26" i="1" s="1"/>
  <c r="E57" i="1" s="1"/>
  <c r="U17" i="1"/>
  <c r="F26" i="1" s="1"/>
  <c r="F57" i="1" s="1"/>
  <c r="Y17" i="1"/>
  <c r="J26" i="1" s="1"/>
  <c r="J57" i="1" s="1"/>
  <c r="AA17" i="1"/>
  <c r="B28" i="1" l="1"/>
  <c r="N27" i="1"/>
  <c r="N58" i="1" s="1"/>
  <c r="D27" i="1"/>
  <c r="F27" i="1"/>
  <c r="F58" i="1" s="1"/>
  <c r="D58" i="1"/>
  <c r="P27" i="1"/>
  <c r="P58" i="1" s="1"/>
  <c r="S18" i="1"/>
  <c r="Y18" i="1"/>
  <c r="J27" i="1" s="1"/>
  <c r="J58" i="1" s="1"/>
  <c r="U18" i="1"/>
  <c r="AA18" i="1"/>
  <c r="L27" i="1" s="1"/>
  <c r="L58" i="1" s="1"/>
  <c r="AB18" i="1"/>
  <c r="M27" i="1" s="1"/>
  <c r="M58" i="1" s="1"/>
  <c r="AD18" i="1"/>
  <c r="O27" i="1" s="1"/>
  <c r="O58" i="1" s="1"/>
  <c r="Z18" i="1"/>
  <c r="K27" i="1" s="1"/>
  <c r="K58" i="1" s="1"/>
  <c r="X18" i="1"/>
  <c r="I27" i="1" s="1"/>
  <c r="I58" i="1" s="1"/>
  <c r="W18" i="1"/>
  <c r="H27" i="1" s="1"/>
  <c r="H58" i="1" s="1"/>
  <c r="T18" i="1"/>
  <c r="E27" i="1" s="1"/>
  <c r="E58" i="1" s="1"/>
  <c r="AE18" i="1"/>
  <c r="AC18" i="1"/>
  <c r="V18" i="1"/>
  <c r="G27" i="1" s="1"/>
  <c r="G58" i="1" s="1"/>
  <c r="B29" i="1" l="1"/>
  <c r="D59" i="1"/>
  <c r="J28" i="1"/>
  <c r="J59" i="1" s="1"/>
  <c r="D28" i="1"/>
  <c r="S19" i="1"/>
  <c r="AE19" i="1"/>
  <c r="P28" i="1" s="1"/>
  <c r="P59" i="1" s="1"/>
  <c r="AD19" i="1"/>
  <c r="O28" i="1" s="1"/>
  <c r="O59" i="1" s="1"/>
  <c r="AB19" i="1"/>
  <c r="M28" i="1" s="1"/>
  <c r="M59" i="1" s="1"/>
  <c r="X19" i="1"/>
  <c r="I28" i="1" s="1"/>
  <c r="I59" i="1" s="1"/>
  <c r="AA19" i="1"/>
  <c r="L28" i="1" s="1"/>
  <c r="L59" i="1" s="1"/>
  <c r="Z19" i="1"/>
  <c r="K28" i="1" s="1"/>
  <c r="K59" i="1" s="1"/>
  <c r="AC19" i="1"/>
  <c r="N28" i="1" s="1"/>
  <c r="N59" i="1" s="1"/>
  <c r="U19" i="1"/>
  <c r="F28" i="1" s="1"/>
  <c r="F59" i="1" s="1"/>
  <c r="Y19" i="1"/>
  <c r="W19" i="1"/>
  <c r="H28" i="1" s="1"/>
  <c r="H59" i="1" s="1"/>
  <c r="T19" i="1"/>
  <c r="E28" i="1" s="1"/>
  <c r="E59" i="1" s="1"/>
  <c r="V19" i="1"/>
  <c r="G28" i="1" s="1"/>
  <c r="G59" i="1" s="1"/>
  <c r="B30" i="1" l="1"/>
  <c r="D29" i="1"/>
  <c r="D60" i="1"/>
  <c r="I29" i="1"/>
  <c r="I60" i="1" s="1"/>
  <c r="L29" i="1"/>
  <c r="L60" i="1" s="1"/>
  <c r="M29" i="1"/>
  <c r="M60" i="1" s="1"/>
  <c r="N29" i="1"/>
  <c r="N60" i="1" s="1"/>
  <c r="S20" i="1"/>
  <c r="AD20" i="1"/>
  <c r="O29" i="1" s="1"/>
  <c r="O60" i="1" s="1"/>
  <c r="AC20" i="1"/>
  <c r="AA20" i="1"/>
  <c r="Y20" i="1"/>
  <c r="J29" i="1" s="1"/>
  <c r="J60" i="1" s="1"/>
  <c r="T20" i="1"/>
  <c r="E29" i="1" s="1"/>
  <c r="E60" i="1" s="1"/>
  <c r="Z20" i="1"/>
  <c r="K29" i="1" s="1"/>
  <c r="K60" i="1" s="1"/>
  <c r="AE20" i="1"/>
  <c r="P29" i="1" s="1"/>
  <c r="P60" i="1" s="1"/>
  <c r="W20" i="1"/>
  <c r="H29" i="1" s="1"/>
  <c r="H60" i="1" s="1"/>
  <c r="U20" i="1"/>
  <c r="F29" i="1" s="1"/>
  <c r="F60" i="1" s="1"/>
  <c r="AB20" i="1"/>
  <c r="X20" i="1"/>
  <c r="V20" i="1"/>
  <c r="G29" i="1" s="1"/>
  <c r="G60" i="1" s="1"/>
  <c r="B31" i="1" l="1"/>
  <c r="D30" i="1"/>
  <c r="D61" i="1"/>
  <c r="P30" i="1"/>
  <c r="P61" i="1" s="1"/>
  <c r="G30" i="1"/>
  <c r="G61" i="1" s="1"/>
  <c r="H30" i="1"/>
  <c r="H61" i="1" s="1"/>
  <c r="J30" i="1"/>
  <c r="J61" i="1" s="1"/>
  <c r="L30" i="1"/>
  <c r="L61" i="1" s="1"/>
  <c r="S21" i="1"/>
  <c r="T21" i="1"/>
  <c r="E30" i="1" s="1"/>
  <c r="E61" i="1" s="1"/>
  <c r="W21" i="1"/>
  <c r="U21" i="1"/>
  <c r="F30" i="1" s="1"/>
  <c r="F61" i="1" s="1"/>
  <c r="AC21" i="1"/>
  <c r="N30" i="1" s="1"/>
  <c r="N61" i="1" s="1"/>
  <c r="AB21" i="1"/>
  <c r="M30" i="1" s="1"/>
  <c r="M61" i="1" s="1"/>
  <c r="Z21" i="1"/>
  <c r="K30" i="1" s="1"/>
  <c r="K61" i="1" s="1"/>
  <c r="X21" i="1"/>
  <c r="I30" i="1" s="1"/>
  <c r="I61" i="1" s="1"/>
  <c r="AD21" i="1"/>
  <c r="O30" i="1" s="1"/>
  <c r="O61" i="1" s="1"/>
  <c r="V21" i="1"/>
  <c r="Y21" i="1"/>
  <c r="AE21" i="1"/>
  <c r="AA21" i="1"/>
  <c r="B32" i="1" l="1"/>
  <c r="D31" i="1"/>
  <c r="D62" i="1"/>
  <c r="P31" i="1"/>
  <c r="P62" i="1" s="1"/>
  <c r="F31" i="1"/>
  <c r="F62" i="1" s="1"/>
  <c r="G31" i="1"/>
  <c r="G62" i="1" s="1"/>
  <c r="H31" i="1"/>
  <c r="H62" i="1" s="1"/>
  <c r="S22" i="1"/>
  <c r="AD22" i="1"/>
  <c r="O31" i="1" s="1"/>
  <c r="O62" i="1" s="1"/>
  <c r="T22" i="1"/>
  <c r="E31" i="1" s="1"/>
  <c r="E62" i="1" s="1"/>
  <c r="AB22" i="1"/>
  <c r="M31" i="1" s="1"/>
  <c r="M62" i="1" s="1"/>
  <c r="AA22" i="1"/>
  <c r="L31" i="1" s="1"/>
  <c r="L62" i="1" s="1"/>
  <c r="Z22" i="1"/>
  <c r="K31" i="1" s="1"/>
  <c r="K62" i="1" s="1"/>
  <c r="Y22" i="1"/>
  <c r="J31" i="1" s="1"/>
  <c r="J62" i="1" s="1"/>
  <c r="AC22" i="1"/>
  <c r="N31" i="1" s="1"/>
  <c r="N62" i="1" s="1"/>
  <c r="X22" i="1"/>
  <c r="I31" i="1" s="1"/>
  <c r="I62" i="1" s="1"/>
  <c r="W22" i="1"/>
  <c r="V22" i="1"/>
  <c r="U22" i="1"/>
  <c r="AE22" i="1"/>
  <c r="B33" i="1" l="1"/>
  <c r="D32" i="1"/>
  <c r="M32" i="1"/>
  <c r="M63" i="1" s="1"/>
  <c r="N32" i="1"/>
  <c r="N63" i="1" s="1"/>
  <c r="D63" i="1"/>
  <c r="S23" i="1"/>
  <c r="AE23" i="1"/>
  <c r="P32" i="1" s="1"/>
  <c r="P63" i="1" s="1"/>
  <c r="W23" i="1"/>
  <c r="H32" i="1" s="1"/>
  <c r="H63" i="1" s="1"/>
  <c r="U23" i="1"/>
  <c r="F32" i="1" s="1"/>
  <c r="F63" i="1" s="1"/>
  <c r="AA23" i="1"/>
  <c r="L32" i="1" s="1"/>
  <c r="L63" i="1" s="1"/>
  <c r="Z23" i="1"/>
  <c r="K32" i="1" s="1"/>
  <c r="K63" i="1" s="1"/>
  <c r="X23" i="1"/>
  <c r="I32" i="1" s="1"/>
  <c r="I63" i="1" s="1"/>
  <c r="T23" i="1"/>
  <c r="E32" i="1" s="1"/>
  <c r="E63" i="1" s="1"/>
  <c r="Y23" i="1"/>
  <c r="J32" i="1" s="1"/>
  <c r="J63" i="1" s="1"/>
  <c r="AD23" i="1"/>
  <c r="O32" i="1" s="1"/>
  <c r="O63" i="1" s="1"/>
  <c r="AC23" i="1"/>
  <c r="V23" i="1"/>
  <c r="G32" i="1" s="1"/>
  <c r="G63" i="1" s="1"/>
  <c r="AB23" i="1"/>
  <c r="B34" i="1" l="1"/>
  <c r="D64" i="1"/>
  <c r="P33" i="1"/>
  <c r="P64" i="1" s="1"/>
  <c r="M33" i="1"/>
  <c r="M64" i="1" s="1"/>
  <c r="J33" i="1"/>
  <c r="J64" i="1" s="1"/>
  <c r="L33" i="1"/>
  <c r="L64" i="1" s="1"/>
  <c r="D33" i="1"/>
  <c r="S24" i="1"/>
  <c r="T24" i="1"/>
  <c r="E33" i="1" s="1"/>
  <c r="E64" i="1" s="1"/>
  <c r="AB24" i="1"/>
  <c r="Z24" i="1"/>
  <c r="K33" i="1" s="1"/>
  <c r="K64" i="1" s="1"/>
  <c r="Y24" i="1"/>
  <c r="W24" i="1"/>
  <c r="H33" i="1" s="1"/>
  <c r="H64" i="1" s="1"/>
  <c r="U24" i="1"/>
  <c r="F33" i="1" s="1"/>
  <c r="F64" i="1" s="1"/>
  <c r="X24" i="1"/>
  <c r="I33" i="1" s="1"/>
  <c r="I64" i="1" s="1"/>
  <c r="AD24" i="1"/>
  <c r="O33" i="1" s="1"/>
  <c r="O64" i="1" s="1"/>
  <c r="AE24" i="1"/>
  <c r="AC24" i="1"/>
  <c r="N33" i="1" s="1"/>
  <c r="N64" i="1" s="1"/>
  <c r="V24" i="1"/>
  <c r="G33" i="1" s="1"/>
  <c r="G64" i="1" s="1"/>
  <c r="AA24" i="1"/>
  <c r="B35" i="1" l="1"/>
  <c r="L34" i="1"/>
  <c r="L65" i="1" s="1"/>
  <c r="D34" i="1"/>
  <c r="O34" i="1"/>
  <c r="O65" i="1" s="1"/>
  <c r="D65" i="1"/>
  <c r="P34" i="1"/>
  <c r="P65" i="1" s="1"/>
  <c r="G34" i="1"/>
  <c r="G65" i="1" s="1"/>
  <c r="H34" i="1"/>
  <c r="H65" i="1" s="1"/>
  <c r="S25" i="1"/>
  <c r="AB25" i="1"/>
  <c r="M34" i="1" s="1"/>
  <c r="M65" i="1" s="1"/>
  <c r="V25" i="1"/>
  <c r="AC25" i="1"/>
  <c r="N34" i="1" s="1"/>
  <c r="N65" i="1" s="1"/>
  <c r="Y25" i="1"/>
  <c r="J34" i="1" s="1"/>
  <c r="J65" i="1" s="1"/>
  <c r="X25" i="1"/>
  <c r="I34" i="1" s="1"/>
  <c r="I65" i="1" s="1"/>
  <c r="T25" i="1"/>
  <c r="E34" i="1" s="1"/>
  <c r="E65" i="1" s="1"/>
  <c r="U25" i="1"/>
  <c r="F34" i="1" s="1"/>
  <c r="F65" i="1" s="1"/>
  <c r="Z25" i="1"/>
  <c r="K34" i="1" s="1"/>
  <c r="K65" i="1" s="1"/>
  <c r="AA25" i="1"/>
  <c r="AE25" i="1"/>
  <c r="W25" i="1"/>
  <c r="AD25" i="1"/>
  <c r="B36" i="1" l="1"/>
  <c r="D66" i="1"/>
  <c r="N35" i="1"/>
  <c r="N66" i="1" s="1"/>
  <c r="D35" i="1"/>
  <c r="O35" i="1"/>
  <c r="O66" i="1" s="1"/>
  <c r="G35" i="1"/>
  <c r="G66" i="1" s="1"/>
  <c r="J35" i="1"/>
  <c r="J66" i="1" s="1"/>
  <c r="S26" i="1"/>
  <c r="V26" i="1"/>
  <c r="Z26" i="1"/>
  <c r="K35" i="1" s="1"/>
  <c r="K66" i="1" s="1"/>
  <c r="AD26" i="1"/>
  <c r="AB26" i="1"/>
  <c r="M35" i="1" s="1"/>
  <c r="M66" i="1" s="1"/>
  <c r="U26" i="1"/>
  <c r="F35" i="1" s="1"/>
  <c r="F66" i="1" s="1"/>
  <c r="T26" i="1"/>
  <c r="E35" i="1" s="1"/>
  <c r="E66" i="1" s="1"/>
  <c r="X26" i="1"/>
  <c r="I35" i="1" s="1"/>
  <c r="I66" i="1" s="1"/>
  <c r="W26" i="1"/>
  <c r="H35" i="1" s="1"/>
  <c r="H66" i="1" s="1"/>
  <c r="AC26" i="1"/>
  <c r="AE26" i="1"/>
  <c r="P35" i="1" s="1"/>
  <c r="P66" i="1" s="1"/>
  <c r="Y26" i="1"/>
  <c r="AA26" i="1"/>
  <c r="L35" i="1" s="1"/>
  <c r="L66" i="1" s="1"/>
  <c r="B37" i="1" l="1"/>
  <c r="D36" i="1"/>
  <c r="O36" i="1"/>
  <c r="O67" i="1" s="1"/>
  <c r="F36" i="1"/>
  <c r="F67" i="1" s="1"/>
  <c r="J36" i="1"/>
  <c r="J67" i="1" s="1"/>
  <c r="D67" i="1"/>
  <c r="S27" i="1"/>
  <c r="U27" i="1"/>
  <c r="Y27" i="1"/>
  <c r="AC27" i="1"/>
  <c r="N36" i="1" s="1"/>
  <c r="N67" i="1" s="1"/>
  <c r="AA27" i="1"/>
  <c r="L36" i="1" s="1"/>
  <c r="L67" i="1" s="1"/>
  <c r="V27" i="1"/>
  <c r="G36" i="1" s="1"/>
  <c r="G67" i="1" s="1"/>
  <c r="AE27" i="1"/>
  <c r="P36" i="1" s="1"/>
  <c r="P67" i="1" s="1"/>
  <c r="T27" i="1"/>
  <c r="E36" i="1" s="1"/>
  <c r="E67" i="1" s="1"/>
  <c r="AB27" i="1"/>
  <c r="M36" i="1" s="1"/>
  <c r="M67" i="1" s="1"/>
  <c r="Z27" i="1"/>
  <c r="K36" i="1" s="1"/>
  <c r="K67" i="1" s="1"/>
  <c r="W27" i="1"/>
  <c r="H36" i="1" s="1"/>
  <c r="H67" i="1" s="1"/>
  <c r="AD27" i="1"/>
  <c r="X27" i="1"/>
  <c r="I36" i="1" s="1"/>
  <c r="I67" i="1" s="1"/>
  <c r="B38" i="1" l="1"/>
  <c r="D68" i="1"/>
  <c r="D37" i="1"/>
  <c r="P37" i="1"/>
  <c r="P68" i="1" s="1"/>
  <c r="H37" i="1"/>
  <c r="H68" i="1" s="1"/>
  <c r="I37" i="1"/>
  <c r="I68" i="1" s="1"/>
  <c r="S28" i="1"/>
  <c r="AC28" i="1"/>
  <c r="N37" i="1" s="1"/>
  <c r="N68" i="1" s="1"/>
  <c r="Z28" i="1"/>
  <c r="K37" i="1" s="1"/>
  <c r="K68" i="1" s="1"/>
  <c r="Y28" i="1"/>
  <c r="J37" i="1" s="1"/>
  <c r="J68" i="1" s="1"/>
  <c r="AB28" i="1"/>
  <c r="M37" i="1" s="1"/>
  <c r="M68" i="1" s="1"/>
  <c r="T28" i="1"/>
  <c r="E37" i="1" s="1"/>
  <c r="E68" i="1" s="1"/>
  <c r="X28" i="1"/>
  <c r="AD28" i="1"/>
  <c r="O37" i="1" s="1"/>
  <c r="O68" i="1" s="1"/>
  <c r="AA28" i="1"/>
  <c r="L37" i="1" s="1"/>
  <c r="L68" i="1" s="1"/>
  <c r="W28" i="1"/>
  <c r="AE28" i="1"/>
  <c r="V28" i="1"/>
  <c r="G37" i="1" s="1"/>
  <c r="G68" i="1" s="1"/>
  <c r="U28" i="1"/>
  <c r="F37" i="1" s="1"/>
  <c r="F68" i="1" s="1"/>
  <c r="B39" i="1" l="1"/>
  <c r="D69" i="1"/>
  <c r="N38" i="1"/>
  <c r="N69" i="1" s="1"/>
  <c r="D38" i="1"/>
  <c r="O38" i="1"/>
  <c r="O69" i="1" s="1"/>
  <c r="S29" i="1"/>
  <c r="AC29" i="1"/>
  <c r="Z29" i="1"/>
  <c r="K38" i="1" s="1"/>
  <c r="K69" i="1" s="1"/>
  <c r="AB29" i="1"/>
  <c r="M38" i="1" s="1"/>
  <c r="M69" i="1" s="1"/>
  <c r="AE29" i="1"/>
  <c r="P38" i="1" s="1"/>
  <c r="P69" i="1" s="1"/>
  <c r="X29" i="1"/>
  <c r="I38" i="1" s="1"/>
  <c r="I69" i="1" s="1"/>
  <c r="W29" i="1"/>
  <c r="H38" i="1" s="1"/>
  <c r="H69" i="1" s="1"/>
  <c r="Y29" i="1"/>
  <c r="J38" i="1" s="1"/>
  <c r="J69" i="1" s="1"/>
  <c r="AA29" i="1"/>
  <c r="L38" i="1" s="1"/>
  <c r="L69" i="1" s="1"/>
  <c r="T29" i="1"/>
  <c r="E38" i="1" s="1"/>
  <c r="E69" i="1" s="1"/>
  <c r="U29" i="1"/>
  <c r="F38" i="1" s="1"/>
  <c r="F69" i="1" s="1"/>
  <c r="AD29" i="1"/>
  <c r="V29" i="1"/>
  <c r="G38" i="1" s="1"/>
  <c r="G69" i="1" s="1"/>
  <c r="B40" i="1" l="1"/>
  <c r="D70" i="1"/>
  <c r="N39" i="1"/>
  <c r="N70" i="1" s="1"/>
  <c r="D39" i="1"/>
  <c r="S30" i="1"/>
  <c r="Y30" i="1"/>
  <c r="J39" i="1" s="1"/>
  <c r="J70" i="1" s="1"/>
  <c r="U30" i="1"/>
  <c r="F39" i="1" s="1"/>
  <c r="F70" i="1" s="1"/>
  <c r="AB30" i="1"/>
  <c r="M39" i="1" s="1"/>
  <c r="M70" i="1" s="1"/>
  <c r="AA30" i="1"/>
  <c r="L39" i="1" s="1"/>
  <c r="L70" i="1" s="1"/>
  <c r="AD30" i="1"/>
  <c r="O39" i="1" s="1"/>
  <c r="O70" i="1" s="1"/>
  <c r="W30" i="1"/>
  <c r="H39" i="1" s="1"/>
  <c r="H70" i="1" s="1"/>
  <c r="Z30" i="1"/>
  <c r="K39" i="1" s="1"/>
  <c r="K70" i="1" s="1"/>
  <c r="AE30" i="1"/>
  <c r="P39" i="1" s="1"/>
  <c r="P70" i="1" s="1"/>
  <c r="AC30" i="1"/>
  <c r="V30" i="1"/>
  <c r="G39" i="1" s="1"/>
  <c r="G70" i="1" s="1"/>
  <c r="T30" i="1"/>
  <c r="E39" i="1" s="1"/>
  <c r="E70" i="1" s="1"/>
  <c r="X30" i="1"/>
  <c r="I39" i="1" s="1"/>
  <c r="I70" i="1" s="1"/>
  <c r="B41" i="1" l="1"/>
  <c r="D71" i="1"/>
  <c r="L40" i="1"/>
  <c r="L71" i="1" s="1"/>
  <c r="M40" i="1"/>
  <c r="M71" i="1" s="1"/>
  <c r="D40" i="1"/>
  <c r="O40" i="1"/>
  <c r="O71" i="1" s="1"/>
  <c r="S31" i="1"/>
  <c r="AA31" i="1"/>
  <c r="X31" i="1"/>
  <c r="I40" i="1" s="1"/>
  <c r="I71" i="1" s="1"/>
  <c r="Z31" i="1"/>
  <c r="K40" i="1" s="1"/>
  <c r="K71" i="1" s="1"/>
  <c r="V31" i="1"/>
  <c r="G40" i="1" s="1"/>
  <c r="G71" i="1" s="1"/>
  <c r="AC31" i="1"/>
  <c r="N40" i="1" s="1"/>
  <c r="N71" i="1" s="1"/>
  <c r="W31" i="1"/>
  <c r="H40" i="1" s="1"/>
  <c r="H71" i="1" s="1"/>
  <c r="T31" i="1"/>
  <c r="E40" i="1" s="1"/>
  <c r="E71" i="1" s="1"/>
  <c r="AE31" i="1"/>
  <c r="P40" i="1" s="1"/>
  <c r="P71" i="1" s="1"/>
  <c r="AD31" i="1"/>
  <c r="U31" i="1"/>
  <c r="F40" i="1" s="1"/>
  <c r="F71" i="1" s="1"/>
  <c r="AB31" i="1"/>
  <c r="Y31" i="1"/>
  <c r="J40" i="1" s="1"/>
  <c r="J71" i="1" s="1"/>
  <c r="D41" i="1" l="1"/>
  <c r="L41" i="1"/>
  <c r="L72" i="1" s="1"/>
  <c r="L74" i="1" s="1"/>
  <c r="L75" i="1" s="1"/>
  <c r="N41" i="1"/>
  <c r="N72" i="1" s="1"/>
  <c r="N74" i="1" s="1"/>
  <c r="N75" i="1" s="1"/>
  <c r="P41" i="1"/>
  <c r="P72" i="1" s="1"/>
  <c r="P74" i="1" s="1"/>
  <c r="P75" i="1" s="1"/>
  <c r="D72" i="1"/>
  <c r="S32" i="1"/>
  <c r="AA32" i="1"/>
  <c r="U32" i="1"/>
  <c r="F41" i="1" s="1"/>
  <c r="F72" i="1" s="1"/>
  <c r="F74" i="1" s="1"/>
  <c r="F75" i="1" s="1"/>
  <c r="Z32" i="1"/>
  <c r="K41" i="1" s="1"/>
  <c r="K72" i="1" s="1"/>
  <c r="K74" i="1" s="1"/>
  <c r="K75" i="1" s="1"/>
  <c r="W32" i="1"/>
  <c r="H41" i="1" s="1"/>
  <c r="H72" i="1" s="1"/>
  <c r="H74" i="1" s="1"/>
  <c r="H75" i="1" s="1"/>
  <c r="AE32" i="1"/>
  <c r="E75" i="1"/>
  <c r="Y32" i="1"/>
  <c r="J41" i="1" s="1"/>
  <c r="J72" i="1" s="1"/>
  <c r="J74" i="1" s="1"/>
  <c r="J75" i="1" s="1"/>
  <c r="AB32" i="1"/>
  <c r="M41" i="1" s="1"/>
  <c r="M72" i="1" s="1"/>
  <c r="M74" i="1" s="1"/>
  <c r="M75" i="1" s="1"/>
  <c r="X32" i="1"/>
  <c r="I41" i="1" s="1"/>
  <c r="I72" i="1" s="1"/>
  <c r="I74" i="1" s="1"/>
  <c r="I75" i="1" s="1"/>
  <c r="V32" i="1"/>
  <c r="G41" i="1" s="1"/>
  <c r="G72" i="1" s="1"/>
  <c r="G74" i="1" s="1"/>
  <c r="G75" i="1" s="1"/>
  <c r="AD32" i="1"/>
  <c r="O41" i="1" s="1"/>
  <c r="O72" i="1" s="1"/>
  <c r="O74" i="1" s="1"/>
  <c r="O75" i="1" s="1"/>
  <c r="AC32" i="1"/>
</calcChain>
</file>

<file path=xl/sharedStrings.xml><?xml version="1.0" encoding="utf-8"?>
<sst xmlns="http://schemas.openxmlformats.org/spreadsheetml/2006/main" count="446" uniqueCount="146">
  <si>
    <t>Given Data</t>
  </si>
  <si>
    <t>Latitude</t>
  </si>
  <si>
    <t>Longitude</t>
  </si>
  <si>
    <t>Place</t>
  </si>
  <si>
    <t>BMO (Alma, Quebec)</t>
  </si>
  <si>
    <t>Gsc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</si>
  <si>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</si>
  <si>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</si>
  <si>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</si>
  <si>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</si>
  <si>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</si>
  <si>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</si>
  <si>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</si>
  <si>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</si>
  <si>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</si>
  <si>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</si>
  <si>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</si>
  <si>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</si>
  <si>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</si>
  <si>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Hbar (kWh/m2)</t>
  </si>
  <si>
    <t>Hbar (MJ/m2)</t>
  </si>
  <si>
    <t>Pgbar</t>
  </si>
  <si>
    <t>Del</t>
  </si>
  <si>
    <t>nbar</t>
  </si>
  <si>
    <t>OmegaS</t>
  </si>
  <si>
    <t>HoBar (MJ/m2)</t>
  </si>
  <si>
    <t>KtBar</t>
  </si>
  <si>
    <t>HdBar/Hbar</t>
  </si>
  <si>
    <t>HdBar</t>
  </si>
  <si>
    <t>Beta</t>
  </si>
  <si>
    <t>OmegaSdash</t>
  </si>
  <si>
    <t>HTBar Max</t>
  </si>
  <si>
    <t>RTBar Max</t>
  </si>
  <si>
    <t>Beta Optimal</t>
  </si>
  <si>
    <t>N(Daylight Hours)</t>
  </si>
  <si>
    <t>N (Possible)</t>
  </si>
  <si>
    <t>Time</t>
  </si>
  <si>
    <t>6-7 am</t>
  </si>
  <si>
    <t>7-8 am</t>
  </si>
  <si>
    <t>8-9 am</t>
  </si>
  <si>
    <t>9-10am</t>
  </si>
  <si>
    <t>10-11 am</t>
  </si>
  <si>
    <t>11-12 am</t>
  </si>
  <si>
    <t>12-1 pm</t>
  </si>
  <si>
    <t>1-2 pm</t>
  </si>
  <si>
    <t>2-3 pm</t>
  </si>
  <si>
    <t>3-4pm</t>
  </si>
  <si>
    <t>4-5pm</t>
  </si>
  <si>
    <t>5-6 pm</t>
  </si>
  <si>
    <t>ST (Solar Time)</t>
  </si>
  <si>
    <t>Omega</t>
  </si>
  <si>
    <t>a (constant)</t>
  </si>
  <si>
    <t>b (constant)</t>
  </si>
  <si>
    <t>Sr No</t>
  </si>
  <si>
    <t>Omega_S</t>
  </si>
  <si>
    <t>January</t>
  </si>
  <si>
    <t>R_T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</si>
  <si>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</si>
  <si>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</si>
  <si>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</si>
  <si>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</si>
  <si>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</si>
  <si>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</si>
  <si>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</si>
  <si>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</si>
  <si>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</si>
  <si>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</si>
  <si>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Solar Time</t>
  </si>
  <si>
    <t xml:space="preserve">Time </t>
  </si>
  <si>
    <t>R_D</t>
  </si>
  <si>
    <t>Constants</t>
  </si>
  <si>
    <t>Pi/24</t>
  </si>
  <si>
    <t>Pi/180</t>
  </si>
  <si>
    <t>a</t>
  </si>
  <si>
    <t>b</t>
  </si>
  <si>
    <t>Beta(Optimal)</t>
  </si>
  <si>
    <t>KTBar</t>
  </si>
  <si>
    <t>HoBar</t>
  </si>
  <si>
    <t>R_B</t>
  </si>
  <si>
    <t>Beta Optimal(Year)</t>
  </si>
  <si>
    <t>IT_Bar</t>
  </si>
  <si>
    <t>NA</t>
  </si>
  <si>
    <t>4-5 am</t>
  </si>
  <si>
    <t>5-6 am</t>
  </si>
  <si>
    <t>9-10 am</t>
  </si>
  <si>
    <t>6-7 pm</t>
  </si>
  <si>
    <t>7-8 pm</t>
  </si>
  <si>
    <t>IT_Bar Year</t>
  </si>
  <si>
    <t>Horizontal Surface</t>
  </si>
  <si>
    <t>RbBar at Beta = 0</t>
  </si>
  <si>
    <t>Beta - 0</t>
  </si>
  <si>
    <t>HTBar at Beta = 0</t>
  </si>
  <si>
    <t>HTBar at Beta = 3</t>
  </si>
  <si>
    <t>HTBar at Beta = 9</t>
  </si>
  <si>
    <t>HTBar at Beta = 12</t>
  </si>
  <si>
    <t>HTBar at Beta = 21</t>
  </si>
  <si>
    <t>HTBar at Beta = 30</t>
  </si>
  <si>
    <t>HTBar at Beta = 36</t>
  </si>
  <si>
    <t>HTBar at Beta = 51</t>
  </si>
  <si>
    <t>HTBar at Beta = 54</t>
  </si>
  <si>
    <t>HTBar at Beta = 66</t>
  </si>
  <si>
    <t>HTBar at Beta = 69</t>
  </si>
  <si>
    <t>HTBar at Beta = 72</t>
  </si>
  <si>
    <t>HTBar at Beta = 75</t>
  </si>
  <si>
    <t xml:space="preserve"> </t>
  </si>
  <si>
    <t>HTBeam at Beta = 3</t>
  </si>
  <si>
    <t>HTBeam at Beta = 9</t>
  </si>
  <si>
    <t>HTBeam at Beta = 12</t>
  </si>
  <si>
    <t>HTBeam at Beta = 21</t>
  </si>
  <si>
    <t>HTBeam at Beta = 30</t>
  </si>
  <si>
    <t>HTBeam at Beta = 36</t>
  </si>
  <si>
    <t>HTBeam at Beta = 51</t>
  </si>
  <si>
    <t>HTBeam at Beta = 54</t>
  </si>
  <si>
    <t>HTBeam at Beta = 66</t>
  </si>
  <si>
    <t>HTBeam at Beta = 69</t>
  </si>
  <si>
    <t>HTBeam at Beta = 72</t>
  </si>
  <si>
    <t>HTBeam at Beta = 75</t>
  </si>
  <si>
    <t>HTSky at Beta = 3</t>
  </si>
  <si>
    <t>HTSky at Beta = 9</t>
  </si>
  <si>
    <t>HTSky at Beta = 12</t>
  </si>
  <si>
    <t>HTSky at Beta = 21</t>
  </si>
  <si>
    <t>HTSky at Beta = 30</t>
  </si>
  <si>
    <t>HTSky at Beta = 36</t>
  </si>
  <si>
    <t>HTSky at Beta = 51</t>
  </si>
  <si>
    <t>HTSky at Beta = 54</t>
  </si>
  <si>
    <t>HTSky at Beta = 66</t>
  </si>
  <si>
    <t>HTSky at Beta = 69</t>
  </si>
  <si>
    <t>HTSky at Beta = 72</t>
  </si>
  <si>
    <t>HTSky at Beta = 75</t>
  </si>
  <si>
    <t>HTGround at Beta = 3</t>
  </si>
  <si>
    <t>HTGround at Beta = 9</t>
  </si>
  <si>
    <t>HTGround at Beta = 12</t>
  </si>
  <si>
    <t>HTGround at Beta = 21</t>
  </si>
  <si>
    <t>HTGround at Beta = 30</t>
  </si>
  <si>
    <t>HTGround at Beta = 36</t>
  </si>
  <si>
    <t>HTGround at Beta = 51</t>
  </si>
  <si>
    <t>HTGround at Beta = 54</t>
  </si>
  <si>
    <t>HTGround at Beta = 66</t>
  </si>
  <si>
    <t>HTGround at Beta = 69</t>
  </si>
  <si>
    <t>HTGround at Beta = 72</t>
  </si>
  <si>
    <t>HTGround at Beta = 75</t>
  </si>
  <si>
    <t>Data by Values</t>
  </si>
  <si>
    <t>Data by Percentage</t>
  </si>
  <si>
    <t>RbBar Optimal</t>
  </si>
  <si>
    <t>HTBar Min</t>
  </si>
  <si>
    <t>Average Beta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</si>
</sst>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4" borderId="0" xfId="0" applyFont="1" applyFill="1"/>
    <xf numFmtId="0" fontId="1" fillId="5" borderId="0" xfId="0" applyFont="1" applyFill="1" applyAlignment="1">
      <alignment horizontal="left"/>
    </xf>
    <xf numFmtId="0" fontId="0" fillId="4" borderId="0" xfId="0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/>
    <xf numFmtId="0" fontId="1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/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3" borderId="21" xfId="0" applyNumberForma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64" fontId="0" fillId="3" borderId="14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23" xfId="0" applyBorder="1"/>
    <xf numFmtId="0" fontId="1" fillId="8" borderId="3" xfId="0" applyFont="1" applyFill="1" applyBorder="1" applyAlignment="1">
      <alignment horizont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9" borderId="0" xfId="0" applyFill="1" applyAlignment="1">
      <alignment horizontal="left"/>
    </xf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horizontal="left"/>
    </xf>
    <xf numFmtId="0" fontId="0" fillId="0" borderId="0" xfId="0" applyFill="1" applyAlignment="1">
      <alignment wrapText="1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1" fillId="5" borderId="0" xfId="0" applyFont="1" applyFill="1" applyAlignment="1" applyProtection="1">
      <alignment horizontal="center"/>
    </xf>
    <xf numFmtId="0" fontId="0" fillId="13" borderId="0" xfId="0" applyFill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2" borderId="0" xfId="0" applyFill="1" applyAlignment="1" applyProtection="1">
      <alignment horizontal="center"/>
    </xf>
    <xf numFmtId="0" fontId="0" fillId="11" borderId="0" xfId="0" applyFill="1" applyAlignment="1" applyProtection="1">
      <alignment horizontal="center"/>
    </xf>
    <xf numFmtId="0" fontId="0" fillId="12" borderId="0" xfId="0" applyFill="1" applyAlignment="1" applyProtection="1">
      <alignment horizontal="center"/>
    </xf>
    <xf numFmtId="0" fontId="0" fillId="6" borderId="0" xfId="0" applyFill="1" applyAlignment="1" applyProtection="1">
      <alignment horizontal="center"/>
    </xf>
    <xf numFmtId="0" fontId="0" fillId="16" borderId="0" xfId="0" applyFill="1" applyAlignment="1">
      <alignment horizontal="center"/>
    </xf>
    <xf numFmtId="0" fontId="0" fillId="0" borderId="0" xfId="0" applyAlignment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165" fontId="0" fillId="0" borderId="7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4" borderId="0" xfId="0" applyNumberFormat="1" applyFill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Figure 1-A: Comparison of monthly average daily solar radiation.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HoBar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HTBar!$E$1:$P$1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HTBar!$E$8:$P$8</c:f>
              <c:numCache>
                <c:formatCode>General</c:formatCode>
                <c:ptCount val="12"/>
                <c:pt idx="0">
                  <c:v>9.9620947801884139</c:v>
                </c:pt>
                <c:pt idx="1">
                  <c:v>15.503106115675998</c:v>
                </c:pt>
                <c:pt idx="2">
                  <c:v>23.235568728641997</c:v>
                </c:pt>
                <c:pt idx="3">
                  <c:v>31.976845538241953</c:v>
                </c:pt>
                <c:pt idx="4">
                  <c:v>38.696583913707329</c:v>
                </c:pt>
                <c:pt idx="5">
                  <c:v>41.641344197528916</c:v>
                </c:pt>
                <c:pt idx="6">
                  <c:v>40.152122576096495</c:v>
                </c:pt>
                <c:pt idx="7">
                  <c:v>34.568811619852539</c:v>
                </c:pt>
                <c:pt idx="8">
                  <c:v>26.369098705471654</c:v>
                </c:pt>
                <c:pt idx="9">
                  <c:v>17.749449808312985</c:v>
                </c:pt>
                <c:pt idx="10">
                  <c:v>11.242092877351924</c:v>
                </c:pt>
                <c:pt idx="11">
                  <c:v>8.5384218428827356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9-484D-AE41-9EB60B97DE5E}"/>
            </c:ext>
          </c:extLst>
        </c:ser>
        <c:ser>
          <c:idx val="1"/>
          <c:order val="1"/>
          <c:tx>
            <c:v>HBar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HTBar!$E$1:$P$1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HTBar!$E$3:$P$3</c:f>
              <c:numCache>
                <c:formatCode>General</c:formatCode>
                <c:ptCount val="12"/>
                <c:pt idx="0">
                  <c:v>5.1840000000000002</c:v>
                </c:pt>
                <c:pt idx="1">
                  <c:v>8.4600000000000009</c:v>
                </c:pt>
                <c:pt idx="2">
                  <c:v>12.852</c:v>
                </c:pt>
                <c:pt idx="3">
                  <c:v>16.740000000000002</c:v>
                </c:pt>
                <c:pt idx="4">
                  <c:v>18.252000000000002</c:v>
                </c:pt>
                <c:pt idx="5">
                  <c:v>19.655999999999999</c:v>
                </c:pt>
                <c:pt idx="6">
                  <c:v>17.891999999999999</c:v>
                </c:pt>
                <c:pt idx="7">
                  <c:v>16.056000000000001</c:v>
                </c:pt>
                <c:pt idx="8">
                  <c:v>11.628</c:v>
                </c:pt>
                <c:pt idx="9">
                  <c:v>7.02</c:v>
                </c:pt>
                <c:pt idx="10">
                  <c:v>4.7160000000000002</c:v>
                </c:pt>
                <c:pt idx="11">
                  <c:v>3.9960000000000004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59-484D-AE41-9EB60B97D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234096"/>
        <c:axId val="1548747280"/>
      </c:lineChart>
      <c:catAx>
        <c:axId val="154823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747280"/>
        <c:crosses val="autoZero"/>
        <c:auto val="1"/>
        <c:lblAlgn val="ctr"/>
        <c:lblOffset val="100"/>
        <c:noMultiLvlLbl val="0"/>
      </c:catAx>
      <c:valAx>
        <c:axId val="15487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MJ/m2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3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Figure</a:t>
            </a:r>
            <a:r>
              <a:rPr lang="en-IN" baseline="0"/>
              <a:t> 2-A: </a:t>
            </a:r>
            <a:r>
              <a:rPr lang="en-IN" sz="1400" b="0" i="0" u="none" strike="noStrike" baseline="0"/>
              <a:t>Comparison of HTBar for each month (Dec-Feb) representing winter season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January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472-47CC-8A90-71E36770B267}"/>
              </c:ext>
            </c:extLst>
          </c:dPt>
          <c:dPt>
            <c:idx val="23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472-47CC-8A90-71E36770B267}"/>
              </c:ext>
            </c:extLst>
          </c:dPt>
          <c:cat>
            <c:numRef>
              <c:f>HTBar!$B$12:$B$41</c:f>
              <c:numCache>
                <c:formatCode>General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63</c:v>
                </c:pt>
                <c:pt idx="21">
                  <c:v>66</c:v>
                </c:pt>
                <c:pt idx="22">
                  <c:v>69</c:v>
                </c:pt>
                <c:pt idx="23">
                  <c:v>72</c:v>
                </c:pt>
                <c:pt idx="24">
                  <c:v>75</c:v>
                </c:pt>
                <c:pt idx="25">
                  <c:v>78</c:v>
                </c:pt>
                <c:pt idx="26">
                  <c:v>81</c:v>
                </c:pt>
                <c:pt idx="27">
                  <c:v>84</c:v>
                </c:pt>
                <c:pt idx="28">
                  <c:v>87</c:v>
                </c:pt>
                <c:pt idx="29">
                  <c:v>90</c:v>
                </c:pt>
              </c:numCache>
            </c:numRef>
          </c:cat>
          <c:val>
            <c:numRef>
              <c:f>HTBar!$E$43:$E$72</c:f>
              <c:numCache>
                <c:formatCode>General</c:formatCode>
                <c:ptCount val="30"/>
                <c:pt idx="0">
                  <c:v>5.7743719090206742</c:v>
                </c:pt>
                <c:pt idx="1">
                  <c:v>6.3537596376389658</c:v>
                </c:pt>
                <c:pt idx="2">
                  <c:v>6.9205751243634763</c:v>
                </c:pt>
                <c:pt idx="3">
                  <c:v>7.4732647673439558</c:v>
                </c:pt>
                <c:pt idx="4">
                  <c:v>8.0103136826859807</c:v>
                </c:pt>
                <c:pt idx="5">
                  <c:v>8.5302498566424116</c:v>
                </c:pt>
                <c:pt idx="6">
                  <c:v>9.0316481803007527</c:v>
                </c:pt>
                <c:pt idx="7">
                  <c:v>9.5131343557076278</c:v>
                </c:pt>
                <c:pt idx="8">
                  <c:v>9.9733886627239432</c:v>
                </c:pt>
                <c:pt idx="9">
                  <c:v>10.411149576286048</c:v>
                </c:pt>
                <c:pt idx="10">
                  <c:v>10.825217224158251</c:v>
                </c:pt>
                <c:pt idx="11">
                  <c:v>11.214456675699235</c:v>
                </c:pt>
                <c:pt idx="12">
                  <c:v>11.577801052628024</c:v>
                </c:pt>
                <c:pt idx="13">
                  <c:v>11.914254453263213</c:v>
                </c:pt>
                <c:pt idx="14">
                  <c:v>12.222894682220254</c:v>
                </c:pt>
                <c:pt idx="15">
                  <c:v>12.502875778084887</c:v>
                </c:pt>
                <c:pt idx="16">
                  <c:v>12.753430332134608</c:v>
                </c:pt>
                <c:pt idx="17">
                  <c:v>12.973871591752584</c:v>
                </c:pt>
                <c:pt idx="18">
                  <c:v>13.163595342768893</c:v>
                </c:pt>
                <c:pt idx="19">
                  <c:v>13.32208156556954</c:v>
                </c:pt>
                <c:pt idx="20">
                  <c:v>13.448895860434067</c:v>
                </c:pt>
                <c:pt idx="21">
                  <c:v>13.543690638195008</c:v>
                </c:pt>
                <c:pt idx="22">
                  <c:v>13.606206072955613</c:v>
                </c:pt>
                <c:pt idx="23">
                  <c:v>13.63627081425461</c:v>
                </c:pt>
                <c:pt idx="24">
                  <c:v>13.633802456725867</c:v>
                </c:pt>
                <c:pt idx="25">
                  <c:v>13.598807765965798</c:v>
                </c:pt>
                <c:pt idx="26">
                  <c:v>13.531382659989328</c:v>
                </c:pt>
                <c:pt idx="27">
                  <c:v>13.431711946325272</c:v>
                </c:pt>
                <c:pt idx="28">
                  <c:v>13.300068815471759</c:v>
                </c:pt>
                <c:pt idx="29">
                  <c:v>13.136814092100057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D-466C-A835-368E2CBAB80C}"/>
            </c:ext>
          </c:extLst>
        </c:ser>
        <c:ser>
          <c:idx val="1"/>
          <c:order val="1"/>
          <c:tx>
            <c:v>February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472-47CC-8A90-71E36770B267}"/>
              </c:ext>
            </c:extLst>
          </c:dPt>
          <c:dPt>
            <c:idx val="21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>
                      <a:alpha val="97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472-47CC-8A90-71E36770B267}"/>
              </c:ext>
            </c:extLst>
          </c:dPt>
          <c:cat>
            <c:numRef>
              <c:f>HTBar!$B$12:$B$41</c:f>
              <c:numCache>
                <c:formatCode>General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63</c:v>
                </c:pt>
                <c:pt idx="21">
                  <c:v>66</c:v>
                </c:pt>
                <c:pt idx="22">
                  <c:v>69</c:v>
                </c:pt>
                <c:pt idx="23">
                  <c:v>72</c:v>
                </c:pt>
                <c:pt idx="24">
                  <c:v>75</c:v>
                </c:pt>
                <c:pt idx="25">
                  <c:v>78</c:v>
                </c:pt>
                <c:pt idx="26">
                  <c:v>81</c:v>
                </c:pt>
                <c:pt idx="27">
                  <c:v>84</c:v>
                </c:pt>
                <c:pt idx="28">
                  <c:v>87</c:v>
                </c:pt>
                <c:pt idx="29">
                  <c:v>90</c:v>
                </c:pt>
              </c:numCache>
            </c:numRef>
          </c:cat>
          <c:val>
            <c:numRef>
              <c:f>HTBar!$F$43:$F$72</c:f>
              <c:numCache>
                <c:formatCode>General</c:formatCode>
                <c:ptCount val="30"/>
                <c:pt idx="0">
                  <c:v>9.0954359736106287</c:v>
                </c:pt>
                <c:pt idx="1">
                  <c:v>9.7132286406605317</c:v>
                </c:pt>
                <c:pt idx="2">
                  <c:v>10.311684674391566</c:v>
                </c:pt>
                <c:pt idx="3">
                  <c:v>10.889163748413438</c:v>
                </c:pt>
                <c:pt idx="4">
                  <c:v>11.444083032724338</c:v>
                </c:pt>
                <c:pt idx="5">
                  <c:v>11.974921532137934</c:v>
                </c:pt>
                <c:pt idx="6">
                  <c:v>12.480224255225469</c:v>
                </c:pt>
                <c:pt idx="7">
                  <c:v>12.958606202346111</c:v>
                </c:pt>
                <c:pt idx="8">
                  <c:v>13.408756161834738</c:v>
                </c:pt>
                <c:pt idx="9">
                  <c:v>13.829440303941924</c:v>
                </c:pt>
                <c:pt idx="10">
                  <c:v>14.219505562675545</c:v>
                </c:pt>
                <c:pt idx="11">
                  <c:v>14.577882796274524</c:v>
                </c:pt>
                <c:pt idx="12">
                  <c:v>14.903589717652061</c:v>
                </c:pt>
                <c:pt idx="13">
                  <c:v>15.195733586776271</c:v>
                </c:pt>
                <c:pt idx="14">
                  <c:v>15.453513657608548</c:v>
                </c:pt>
                <c:pt idx="15">
                  <c:v>15.676223372892823</c:v>
                </c:pt>
                <c:pt idx="16">
                  <c:v>15.863252300779859</c:v>
                </c:pt>
                <c:pt idx="17">
                  <c:v>16.014087807978544</c:v>
                </c:pt>
                <c:pt idx="18">
                  <c:v>16.128316464848083</c:v>
                </c:pt>
                <c:pt idx="19">
                  <c:v>16.20562517857995</c:v>
                </c:pt>
                <c:pt idx="20">
                  <c:v>16.245802051363459</c:v>
                </c:pt>
                <c:pt idx="21">
                  <c:v>16.248736961182967</c:v>
                </c:pt>
                <c:pt idx="22">
                  <c:v>16.214421863654671</c:v>
                </c:pt>
                <c:pt idx="23">
                  <c:v>16.142950814075675</c:v>
                </c:pt>
                <c:pt idx="24">
                  <c:v>16.034519709624988</c:v>
                </c:pt>
                <c:pt idx="25">
                  <c:v>15.889425752422952</c:v>
                </c:pt>
                <c:pt idx="26">
                  <c:v>15.708066634920906</c:v>
                </c:pt>
                <c:pt idx="27">
                  <c:v>15.490939449853801</c:v>
                </c:pt>
                <c:pt idx="28">
                  <c:v>15.238639327743577</c:v>
                </c:pt>
                <c:pt idx="29">
                  <c:v>14.95185780568778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D-466C-A835-368E2CBAB80C}"/>
            </c:ext>
          </c:extLst>
        </c:ser>
        <c:ser>
          <c:idx val="2"/>
          <c:order val="2"/>
          <c:tx>
            <c:v>December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6472-47CC-8A90-71E36770B267}"/>
              </c:ext>
            </c:extLst>
          </c:dPt>
          <c:dPt>
            <c:idx val="24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472-47CC-8A90-71E36770B267}"/>
              </c:ext>
            </c:extLst>
          </c:dPt>
          <c:val>
            <c:numRef>
              <c:f>HTBar!$P$43:$P$72</c:f>
              <c:numCache>
                <c:formatCode>General</c:formatCode>
                <c:ptCount val="30"/>
                <c:pt idx="0">
                  <c:v>4.4748017737934855</c:v>
                </c:pt>
                <c:pt idx="1">
                  <c:v>4.9451902922127271</c:v>
                </c:pt>
                <c:pt idx="2">
                  <c:v>5.4058762530250419</c:v>
                </c:pt>
                <c:pt idx="3">
                  <c:v>5.8555969480337309</c:v>
                </c:pt>
                <c:pt idx="4">
                  <c:v>6.2931197240734749</c:v>
                </c:pt>
                <c:pt idx="5">
                  <c:v>6.7172453616269934</c:v>
                </c:pt>
                <c:pt idx="6">
                  <c:v>7.1268113618023543</c:v>
                </c:pt>
                <c:pt idx="7">
                  <c:v>7.5206951326616629</c:v>
                </c:pt>
                <c:pt idx="8">
                  <c:v>7.897817066167522</c:v>
                </c:pt>
                <c:pt idx="9">
                  <c:v>8.2571434973136171</c:v>
                </c:pt>
                <c:pt idx="10">
                  <c:v>8.5976895373286446</c:v>
                </c:pt>
                <c:pt idx="11">
                  <c:v>8.9185217731879938</c:v>
                </c:pt>
                <c:pt idx="12">
                  <c:v>9.2187608260339466</c:v>
                </c:pt>
                <c:pt idx="13">
                  <c:v>9.4975837614920167</c:v>
                </c:pt>
                <c:pt idx="14">
                  <c:v>9.7542263452768516</c:v>
                </c:pt>
                <c:pt idx="15">
                  <c:v>9.9879851379053122</c:v>
                </c:pt>
                <c:pt idx="16">
                  <c:v>10.198219422775171</c:v>
                </c:pt>
                <c:pt idx="17">
                  <c:v>10.384352962324808</c:v>
                </c:pt>
                <c:pt idx="18">
                  <c:v>10.545875577460306</c:v>
                </c:pt>
                <c:pt idx="19">
                  <c:v>10.682344545920872</c:v>
                </c:pt>
                <c:pt idx="20">
                  <c:v>10.793385815749801</c:v>
                </c:pt>
                <c:pt idx="21">
                  <c:v>10.878695030544874</c:v>
                </c:pt>
                <c:pt idx="22">
                  <c:v>10.938038363678109</c:v>
                </c:pt>
                <c:pt idx="23">
                  <c:v>10.971253159198294</c:v>
                </c:pt>
                <c:pt idx="24">
                  <c:v>10.978248377659636</c:v>
                </c:pt>
                <c:pt idx="25">
                  <c:v>10.959004845654565</c:v>
                </c:pt>
                <c:pt idx="26">
                  <c:v>10.91357530836671</c:v>
                </c:pt>
                <c:pt idx="27">
                  <c:v>10.842084285000006</c:v>
                </c:pt>
                <c:pt idx="28">
                  <c:v>10.744727727480221</c:v>
                </c:pt>
                <c:pt idx="29">
                  <c:v>10.621772483364344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2D-466C-A835-368E2CBAB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905472"/>
        <c:axId val="1639787360"/>
      </c:lineChart>
      <c:catAx>
        <c:axId val="163490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87360"/>
        <c:crosses val="autoZero"/>
        <c:auto val="1"/>
        <c:lblAlgn val="ctr"/>
        <c:lblOffset val="100"/>
        <c:noMultiLvlLbl val="0"/>
      </c:catAx>
      <c:valAx>
        <c:axId val="16397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HTBar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90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Figure 3-A: Comparison of HTBar for each month (Mar-May) representing spring season</a:t>
            </a:r>
            <a:r>
              <a:rPr lang="en-IN" sz="1400" b="0" i="1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March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982-4DC0-AEF5-A10A97FCA636}"/>
              </c:ext>
            </c:extLst>
          </c:dPt>
          <c:cat>
            <c:numRef>
              <c:f>HTBar!$B$12:$B$41</c:f>
              <c:numCache>
                <c:formatCode>General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63</c:v>
                </c:pt>
                <c:pt idx="21">
                  <c:v>66</c:v>
                </c:pt>
                <c:pt idx="22">
                  <c:v>69</c:v>
                </c:pt>
                <c:pt idx="23">
                  <c:v>72</c:v>
                </c:pt>
                <c:pt idx="24">
                  <c:v>75</c:v>
                </c:pt>
                <c:pt idx="25">
                  <c:v>78</c:v>
                </c:pt>
                <c:pt idx="26">
                  <c:v>81</c:v>
                </c:pt>
                <c:pt idx="27">
                  <c:v>84</c:v>
                </c:pt>
                <c:pt idx="28">
                  <c:v>87</c:v>
                </c:pt>
                <c:pt idx="29">
                  <c:v>90</c:v>
                </c:pt>
              </c:numCache>
            </c:numRef>
          </c:cat>
          <c:val>
            <c:numRef>
              <c:f>HTBar!$G$43:$G$72</c:f>
              <c:numCache>
                <c:formatCode>General</c:formatCode>
                <c:ptCount val="30"/>
                <c:pt idx="0">
                  <c:v>13.378837588859813</c:v>
                </c:pt>
                <c:pt idx="1">
                  <c:v>13.880977859239174</c:v>
                </c:pt>
                <c:pt idx="2">
                  <c:v>14.357044479560297</c:v>
                </c:pt>
                <c:pt idx="3">
                  <c:v>14.805732584307888</c:v>
                </c:pt>
                <c:pt idx="4">
                  <c:v>15.225812350574747</c:v>
                </c:pt>
                <c:pt idx="5">
                  <c:v>15.616132368920924</c:v>
                </c:pt>
                <c:pt idx="6">
                  <c:v>15.975622799306951</c:v>
                </c:pt>
                <c:pt idx="7">
                  <c:v>16.303298303451008</c:v>
                </c:pt>
                <c:pt idx="8">
                  <c:v>16.598260745572684</c:v>
                </c:pt>
                <c:pt idx="9">
                  <c:v>16.859701654120713</c:v>
                </c:pt>
                <c:pt idx="10">
                  <c:v>17.086904437737289</c:v>
                </c:pt>
                <c:pt idx="11">
                  <c:v>17.279246349385204</c:v>
                </c:pt>
                <c:pt idx="12">
                  <c:v>17.436200193254145</c:v>
                </c:pt>
                <c:pt idx="13">
                  <c:v>17.5573357697678</c:v>
                </c:pt>
                <c:pt idx="14">
                  <c:v>17.642321054730971</c:v>
                </c:pt>
                <c:pt idx="15">
                  <c:v>17.690923109384837</c:v>
                </c:pt>
                <c:pt idx="16">
                  <c:v>17.703008718875871</c:v>
                </c:pt>
                <c:pt idx="17">
                  <c:v>17.678544757388519</c:v>
                </c:pt>
                <c:pt idx="18">
                  <c:v>17.617598278940754</c:v>
                </c:pt>
                <c:pt idx="19">
                  <c:v>17.520336333593658</c:v>
                </c:pt>
                <c:pt idx="20">
                  <c:v>17.387025509578834</c:v>
                </c:pt>
                <c:pt idx="21">
                  <c:v>17.218031202598592</c:v>
                </c:pt>
                <c:pt idx="22">
                  <c:v>17.013816614301703</c:v>
                </c:pt>
                <c:pt idx="23">
                  <c:v>16.774941482679914</c:v>
                </c:pt>
                <c:pt idx="24">
                  <c:v>16.502060547864993</c:v>
                </c:pt>
                <c:pt idx="25">
                  <c:v>16.19592175753154</c:v>
                </c:pt>
                <c:pt idx="26">
                  <c:v>15.857364216824424</c:v>
                </c:pt>
                <c:pt idx="27">
                  <c:v>15.487315888429865</c:v>
                </c:pt>
                <c:pt idx="28">
                  <c:v>15.086791049094259</c:v>
                </c:pt>
                <c:pt idx="29">
                  <c:v>14.656887509562077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D-4921-8073-D95B7C865A34}"/>
            </c:ext>
          </c:extLst>
        </c:ser>
        <c:ser>
          <c:idx val="1"/>
          <c:order val="1"/>
          <c:tx>
            <c:v>April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5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982-4DC0-AEF5-A10A97FCA636}"/>
              </c:ext>
            </c:extLst>
          </c:dPt>
          <c:dPt>
            <c:idx val="29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982-4DC0-AEF5-A10A97FCA636}"/>
              </c:ext>
            </c:extLst>
          </c:dPt>
          <c:cat>
            <c:numRef>
              <c:f>HTBar!$B$12:$B$41</c:f>
              <c:numCache>
                <c:formatCode>General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63</c:v>
                </c:pt>
                <c:pt idx="21">
                  <c:v>66</c:v>
                </c:pt>
                <c:pt idx="22">
                  <c:v>69</c:v>
                </c:pt>
                <c:pt idx="23">
                  <c:v>72</c:v>
                </c:pt>
                <c:pt idx="24">
                  <c:v>75</c:v>
                </c:pt>
                <c:pt idx="25">
                  <c:v>78</c:v>
                </c:pt>
                <c:pt idx="26">
                  <c:v>81</c:v>
                </c:pt>
                <c:pt idx="27">
                  <c:v>84</c:v>
                </c:pt>
                <c:pt idx="28">
                  <c:v>87</c:v>
                </c:pt>
                <c:pt idx="29">
                  <c:v>90</c:v>
                </c:pt>
              </c:numCache>
            </c:numRef>
          </c:cat>
          <c:val>
            <c:numRef>
              <c:f>HTBar!$H$43:$H$72</c:f>
              <c:numCache>
                <c:formatCode>General</c:formatCode>
                <c:ptCount val="30"/>
                <c:pt idx="0">
                  <c:v>17.050661062703963</c:v>
                </c:pt>
                <c:pt idx="1">
                  <c:v>17.331981934313262</c:v>
                </c:pt>
                <c:pt idx="2">
                  <c:v>17.582824077769004</c:v>
                </c:pt>
                <c:pt idx="3">
                  <c:v>17.802215190465464</c:v>
                </c:pt>
                <c:pt idx="4">
                  <c:v>17.989330156139076</c:v>
                </c:pt>
                <c:pt idx="5">
                  <c:v>18.143478253413615</c:v>
                </c:pt>
                <c:pt idx="6">
                  <c:v>18.264094389913733</c:v>
                </c:pt>
                <c:pt idx="7">
                  <c:v>18.350732965961278</c:v>
                </c:pt>
                <c:pt idx="8">
                  <c:v>18.403063470810778</c:v>
                </c:pt>
                <c:pt idx="9">
                  <c:v>18.420867221571282</c:v>
                </c:pt>
                <c:pt idx="10">
                  <c:v>18.404034849316243</c:v>
                </c:pt>
                <c:pt idx="11">
                  <c:v>18.352564263002584</c:v>
                </c:pt>
                <c:pt idx="12">
                  <c:v>18.266558905682789</c:v>
                </c:pt>
                <c:pt idx="13">
                  <c:v>18.146226174661745</c:v>
                </c:pt>
                <c:pt idx="14">
                  <c:v>17.991875917293147</c:v>
                </c:pt>
                <c:pt idx="15">
                  <c:v>17.803918943079509</c:v>
                </c:pt>
                <c:pt idx="16">
                  <c:v>17.582865514581762</c:v>
                </c:pt>
                <c:pt idx="17">
                  <c:v>17.329323797042413</c:v>
                </c:pt>
                <c:pt idx="18">
                  <c:v>17.043998261521118</c:v>
                </c:pt>
                <c:pt idx="19">
                  <c:v>16.727688050271983</c:v>
                </c:pt>
                <c:pt idx="20">
                  <c:v>16.381285327447767</c:v>
                </c:pt>
                <c:pt idx="21">
                  <c:v>16.005773654455236</c:v>
                </c:pt>
                <c:pt idx="22">
                  <c:v>15.602226449168588</c:v>
                </c:pt>
                <c:pt idx="23">
                  <c:v>15.171805614095826</c:v>
                </c:pt>
                <c:pt idx="24">
                  <c:v>14.715760453894587</c:v>
                </c:pt>
                <c:pt idx="25">
                  <c:v>14.235427052500926</c:v>
                </c:pt>
                <c:pt idx="26">
                  <c:v>13.73222835263088</c:v>
                </c:pt>
                <c:pt idx="27">
                  <c:v>13.207675288520951</c:v>
                </c:pt>
                <c:pt idx="28">
                  <c:v>12.663369487951993</c:v>
                </c:pt>
                <c:pt idx="29">
                  <c:v>12.101008318311514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D-4921-8073-D95B7C865A34}"/>
            </c:ext>
          </c:extLst>
        </c:ser>
        <c:ser>
          <c:idx val="2"/>
          <c:order val="2"/>
          <c:tx>
            <c:v>May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982-4DC0-AEF5-A10A97FCA636}"/>
              </c:ext>
            </c:extLst>
          </c:dPt>
          <c:dPt>
            <c:idx val="7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982-4DC0-AEF5-A10A97FCA636}"/>
              </c:ext>
            </c:extLst>
          </c:dPt>
          <c:dPt>
            <c:idx val="29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982-4DC0-AEF5-A10A97FCA636}"/>
              </c:ext>
            </c:extLst>
          </c:dPt>
          <c:cat>
            <c:numRef>
              <c:f>HTBar!$B$12:$B$41</c:f>
              <c:numCache>
                <c:formatCode>General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63</c:v>
                </c:pt>
                <c:pt idx="21">
                  <c:v>66</c:v>
                </c:pt>
                <c:pt idx="22">
                  <c:v>69</c:v>
                </c:pt>
                <c:pt idx="23">
                  <c:v>72</c:v>
                </c:pt>
                <c:pt idx="24">
                  <c:v>75</c:v>
                </c:pt>
                <c:pt idx="25">
                  <c:v>78</c:v>
                </c:pt>
                <c:pt idx="26">
                  <c:v>81</c:v>
                </c:pt>
                <c:pt idx="27">
                  <c:v>84</c:v>
                </c:pt>
                <c:pt idx="28">
                  <c:v>87</c:v>
                </c:pt>
                <c:pt idx="29">
                  <c:v>90</c:v>
                </c:pt>
              </c:numCache>
            </c:numRef>
          </c:cat>
          <c:val>
            <c:numRef>
              <c:f>HTBar!$I$43:$I$72</c:f>
              <c:numCache>
                <c:formatCode>General</c:formatCode>
                <c:ptCount val="30"/>
                <c:pt idx="0">
                  <c:v>18.354798826149882</c:v>
                </c:pt>
                <c:pt idx="1">
                  <c:v>18.429786228939985</c:v>
                </c:pt>
                <c:pt idx="2">
                  <c:v>18.475411665860367</c:v>
                </c:pt>
                <c:pt idx="3">
                  <c:v>18.490524665673021</c:v>
                </c:pt>
                <c:pt idx="4">
                  <c:v>18.474288352598435</c:v>
                </c:pt>
                <c:pt idx="5">
                  <c:v>18.426121580188831</c:v>
                </c:pt>
                <c:pt idx="6">
                  <c:v>18.34565901131592</c:v>
                </c:pt>
                <c:pt idx="7">
                  <c:v>18.232722809313117</c:v>
                </c:pt>
                <c:pt idx="8">
                  <c:v>18.087302037087522</c:v>
                </c:pt>
                <c:pt idx="9">
                  <c:v>17.909537284948438</c:v>
                </c:pt>
                <c:pt idx="10">
                  <c:v>17.699708911888745</c:v>
                </c:pt>
                <c:pt idx="11">
                  <c:v>17.458227826032015</c:v>
                </c:pt>
                <c:pt idx="12">
                  <c:v>17.185628078585179</c:v>
                </c:pt>
                <c:pt idx="13">
                  <c:v>16.88256077665006</c:v>
                </c:pt>
                <c:pt idx="14">
                  <c:v>16.549788977848124</c:v>
                </c:pt>
                <c:pt idx="15">
                  <c:v>16.188183340900135</c:v>
                </c:pt>
                <c:pt idx="16">
                  <c:v>15.798718388162253</c:v>
                </c:pt>
                <c:pt idx="17">
                  <c:v>15.382469299956234</c:v>
                </c:pt>
                <c:pt idx="18">
                  <c:v>14.940609214321897</c:v>
                </c:pt>
                <c:pt idx="19">
                  <c:v>14.474407055777757</c:v>
                </c:pt>
                <c:pt idx="20">
                  <c:v>13.985225968360249</c:v>
                </c:pt>
                <c:pt idx="21">
                  <c:v>13.47452248748132</c:v>
                </c:pt>
                <c:pt idx="22">
                  <c:v>12.943846659179453</c:v>
                </c:pt>
                <c:pt idx="23">
                  <c:v>12.39484341399962</c:v>
                </c:pt>
                <c:pt idx="24">
                  <c:v>11.829255640620961</c:v>
                </c:pt>
                <c:pt idx="25">
                  <c:v>11.248929604186776</c:v>
                </c:pt>
                <c:pt idx="26">
                  <c:v>10.655823652831151</c:v>
                </c:pt>
                <c:pt idx="27">
                  <c:v>10.052021614555249</c:v>
                </c:pt>
                <c:pt idx="28">
                  <c:v>9.439753011416828</c:v>
                </c:pt>
                <c:pt idx="29">
                  <c:v>8.8214233985798494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8D-4921-8073-D95B7C865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618816"/>
        <c:axId val="1742373680"/>
      </c:lineChart>
      <c:catAx>
        <c:axId val="17476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373680"/>
        <c:crosses val="autoZero"/>
        <c:auto val="1"/>
        <c:lblAlgn val="ctr"/>
        <c:lblOffset val="100"/>
        <c:noMultiLvlLbl val="0"/>
      </c:catAx>
      <c:valAx>
        <c:axId val="174237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HTBar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Figure</a:t>
            </a:r>
            <a:r>
              <a:rPr lang="en-IN" baseline="0"/>
              <a:t> 4-A: </a:t>
            </a:r>
            <a:r>
              <a:rPr lang="en-IN" sz="1400" b="0" i="0" u="none" strike="noStrike" baseline="0"/>
              <a:t>Comparison of HTBar for each month (Jun-Aug) representing summer season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June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solidFill>
                  <a:srgbClr val="FF0000">
                    <a:alpha val="87000"/>
                  </a:srgbClr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CE9-41FF-82C8-738C9FD65ABA}"/>
              </c:ext>
            </c:extLst>
          </c:dPt>
          <c:cat>
            <c:numRef>
              <c:f>HTBar!$B$12:$B$41</c:f>
              <c:numCache>
                <c:formatCode>General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63</c:v>
                </c:pt>
                <c:pt idx="21">
                  <c:v>66</c:v>
                </c:pt>
                <c:pt idx="22">
                  <c:v>69</c:v>
                </c:pt>
                <c:pt idx="23">
                  <c:v>72</c:v>
                </c:pt>
                <c:pt idx="24">
                  <c:v>75</c:v>
                </c:pt>
                <c:pt idx="25">
                  <c:v>78</c:v>
                </c:pt>
                <c:pt idx="26">
                  <c:v>81</c:v>
                </c:pt>
                <c:pt idx="27">
                  <c:v>84</c:v>
                </c:pt>
                <c:pt idx="28">
                  <c:v>87</c:v>
                </c:pt>
                <c:pt idx="29">
                  <c:v>90</c:v>
                </c:pt>
              </c:numCache>
            </c:numRef>
          </c:cat>
          <c:val>
            <c:numRef>
              <c:f>HTBar!$J$43:$J$72</c:f>
              <c:numCache>
                <c:formatCode>General</c:formatCode>
                <c:ptCount val="30"/>
                <c:pt idx="0">
                  <c:v>19.676443772720098</c:v>
                </c:pt>
                <c:pt idx="1">
                  <c:v>19.671855757864375</c:v>
                </c:pt>
                <c:pt idx="2">
                  <c:v>19.640022057114216</c:v>
                </c:pt>
                <c:pt idx="3">
                  <c:v>19.57935809227514</c:v>
                </c:pt>
                <c:pt idx="4">
                  <c:v>19.488748180996858</c:v>
                </c:pt>
                <c:pt idx="5">
                  <c:v>19.367441445304571</c:v>
                </c:pt>
                <c:pt idx="6">
                  <c:v>19.214981705262897</c:v>
                </c:pt>
                <c:pt idx="7">
                  <c:v>19.031158738717249</c:v>
                </c:pt>
                <c:pt idx="8">
                  <c:v>18.815973432147896</c:v>
                </c:pt>
                <c:pt idx="9">
                  <c:v>18.569612220085563</c:v>
                </c:pt>
                <c:pt idx="10">
                  <c:v>18.292427888281885</c:v>
                </c:pt>
                <c:pt idx="11">
                  <c:v>17.984924834066856</c:v>
                </c:pt>
                <c:pt idx="12">
                  <c:v>17.647747516620559</c:v>
                </c:pt>
                <c:pt idx="13">
                  <c:v>17.281671244166059</c:v>
                </c:pt>
                <c:pt idx="14">
                  <c:v>16.88759472225933</c:v>
                </c:pt>
                <c:pt idx="15">
                  <c:v>16.46653397952883</c:v>
                </c:pt>
                <c:pt idx="16">
                  <c:v>16.01961742652955</c:v>
                </c:pt>
                <c:pt idx="17">
                  <c:v>15.548081910592217</c:v>
                </c:pt>
                <c:pt idx="18">
                  <c:v>15.053269719028282</c:v>
                </c:pt>
                <c:pt idx="19">
                  <c:v>14.536626565802818</c:v>
                </c:pt>
                <c:pt idx="20">
                  <c:v>13.9997006825871</c:v>
                </c:pt>
                <c:pt idx="21">
                  <c:v>13.444143234288568</c:v>
                </c:pt>
                <c:pt idx="22">
                  <c:v>12.87171040456986</c:v>
                </c:pt>
                <c:pt idx="23">
                  <c:v>12.284267666482441</c:v>
                </c:pt>
                <c:pt idx="24">
                  <c:v>11.683796994361398</c:v>
                </c:pt>
                <c:pt idx="25">
                  <c:v>11.072408128996251</c:v>
                </c:pt>
                <c:pt idx="26">
                  <c:v>10.452355551066697</c:v>
                </c:pt>
                <c:pt idx="27">
                  <c:v>9.8260636727031034</c:v>
                </c:pt>
                <c:pt idx="28">
                  <c:v>9.1961641478210048</c:v>
                </c:pt>
                <c:pt idx="29">
                  <c:v>8.5655515485044553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F-4CF7-97F5-FBF8348AAD8B}"/>
            </c:ext>
          </c:extLst>
        </c:ser>
        <c:ser>
          <c:idx val="1"/>
          <c:order val="1"/>
          <c:tx>
            <c:v>July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CE9-41FF-82C8-738C9FD65ABA}"/>
              </c:ext>
            </c:extLst>
          </c:dPt>
          <c:dPt>
            <c:idx val="29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>
                      <a:alpha val="95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CE9-41FF-82C8-738C9FD65ABA}"/>
              </c:ext>
            </c:extLst>
          </c:dPt>
          <c:cat>
            <c:numRef>
              <c:f>HTBar!$B$12:$B$41</c:f>
              <c:numCache>
                <c:formatCode>General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63</c:v>
                </c:pt>
                <c:pt idx="21">
                  <c:v>66</c:v>
                </c:pt>
                <c:pt idx="22">
                  <c:v>69</c:v>
                </c:pt>
                <c:pt idx="23">
                  <c:v>72</c:v>
                </c:pt>
                <c:pt idx="24">
                  <c:v>75</c:v>
                </c:pt>
                <c:pt idx="25">
                  <c:v>78</c:v>
                </c:pt>
                <c:pt idx="26">
                  <c:v>81</c:v>
                </c:pt>
                <c:pt idx="27">
                  <c:v>84</c:v>
                </c:pt>
                <c:pt idx="28">
                  <c:v>87</c:v>
                </c:pt>
                <c:pt idx="29">
                  <c:v>90</c:v>
                </c:pt>
              </c:numCache>
            </c:numRef>
          </c:cat>
          <c:val>
            <c:numRef>
              <c:f>HTBar!$K$43:$K$72</c:f>
              <c:numCache>
                <c:formatCode>General</c:formatCode>
                <c:ptCount val="30"/>
                <c:pt idx="0">
                  <c:v>17.943342253925476</c:v>
                </c:pt>
                <c:pt idx="1">
                  <c:v>17.970050423822737</c:v>
                </c:pt>
                <c:pt idx="2">
                  <c:v>17.970451118928533</c:v>
                </c:pt>
                <c:pt idx="3">
                  <c:v>17.943332482700452</c:v>
                </c:pt>
                <c:pt idx="4">
                  <c:v>17.887835070325771</c:v>
                </c:pt>
                <c:pt idx="5">
                  <c:v>17.803379901327798</c:v>
                </c:pt>
                <c:pt idx="6">
                  <c:v>17.689619390856048</c:v>
                </c:pt>
                <c:pt idx="7">
                  <c:v>17.546402877154318</c:v>
                </c:pt>
                <c:pt idx="8">
                  <c:v>17.373751741203083</c:v>
                </c:pt>
                <c:pt idx="9">
                  <c:v>17.171840989278227</c:v>
                </c:pt>
                <c:pt idx="10">
                  <c:v>16.940985285147551</c:v>
                </c:pt>
                <c:pt idx="11">
                  <c:v>16.681628106470271</c:v>
                </c:pt>
                <c:pt idx="12">
                  <c:v>16.394333137410456</c:v>
                </c:pt>
                <c:pt idx="13">
                  <c:v>16.079777296068126</c:v>
                </c:pt>
                <c:pt idx="14">
                  <c:v>15.738744988906364</c:v>
                </c:pt>
                <c:pt idx="15">
                  <c:v>15.372123319705361</c:v>
                </c:pt>
                <c:pt idx="16">
                  <c:v>14.98089807943184</c:v>
                </c:pt>
                <c:pt idx="17">
                  <c:v>14.566150419979445</c:v>
                </c:pt>
                <c:pt idx="18">
                  <c:v>14.129054178933918</c:v>
                </c:pt>
                <c:pt idx="19">
                  <c:v>13.67087388200928</c:v>
                </c:pt>
                <c:pt idx="20">
                  <c:v>13.192963511420039</c:v>
                </c:pt>
                <c:pt idx="21">
                  <c:v>12.696766199410717</c:v>
                </c:pt>
                <c:pt idx="22">
                  <c:v>12.183815095358185</c:v>
                </c:pt>
                <c:pt idx="23">
                  <c:v>11.65573577463396</c:v>
                </c:pt>
                <c:pt idx="24">
                  <c:v>11.114250726241984</c:v>
                </c:pt>
                <c:pt idx="25">
                  <c:v>10.561186703276649</c:v>
                </c:pt>
                <c:pt idx="26">
                  <c:v>9.9984860932859245</c:v>
                </c:pt>
                <c:pt idx="27">
                  <c:v>9.4282240459155613</c:v>
                </c:pt>
                <c:pt idx="28">
                  <c:v>8.8526340258144867</c:v>
                </c:pt>
                <c:pt idx="29">
                  <c:v>8.2741460016852617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9F-4CF7-97F5-FBF8348AAD8B}"/>
            </c:ext>
          </c:extLst>
        </c:ser>
        <c:ser>
          <c:idx val="2"/>
          <c:order val="2"/>
          <c:tx>
            <c:v>August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CE9-41FF-82C8-738C9FD65ABA}"/>
              </c:ext>
            </c:extLst>
          </c:dPt>
          <c:dPt>
            <c:idx val="29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>
                      <a:alpha val="92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CE9-41FF-82C8-738C9FD65ABA}"/>
              </c:ext>
            </c:extLst>
          </c:dPt>
          <c:cat>
            <c:numRef>
              <c:f>HTBar!$B$12:$B$41</c:f>
              <c:numCache>
                <c:formatCode>General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63</c:v>
                </c:pt>
                <c:pt idx="21">
                  <c:v>66</c:v>
                </c:pt>
                <c:pt idx="22">
                  <c:v>69</c:v>
                </c:pt>
                <c:pt idx="23">
                  <c:v>72</c:v>
                </c:pt>
                <c:pt idx="24">
                  <c:v>75</c:v>
                </c:pt>
                <c:pt idx="25">
                  <c:v>78</c:v>
                </c:pt>
                <c:pt idx="26">
                  <c:v>81</c:v>
                </c:pt>
                <c:pt idx="27">
                  <c:v>84</c:v>
                </c:pt>
                <c:pt idx="28">
                  <c:v>87</c:v>
                </c:pt>
                <c:pt idx="29">
                  <c:v>90</c:v>
                </c:pt>
              </c:numCache>
            </c:numRef>
          </c:cat>
          <c:val>
            <c:numRef>
              <c:f>HTBar!$L$43:$L$72</c:f>
              <c:numCache>
                <c:formatCode>General</c:formatCode>
                <c:ptCount val="30"/>
                <c:pt idx="0">
                  <c:v>16.242088656671051</c:v>
                </c:pt>
                <c:pt idx="1">
                  <c:v>16.400056177502407</c:v>
                </c:pt>
                <c:pt idx="2">
                  <c:v>16.528853343307986</c:v>
                </c:pt>
                <c:pt idx="3">
                  <c:v>16.627651982444679</c:v>
                </c:pt>
                <c:pt idx="4">
                  <c:v>16.695809415405265</c:v>
                </c:pt>
                <c:pt idx="5">
                  <c:v>16.732844247528856</c:v>
                </c:pt>
                <c:pt idx="6">
                  <c:v>16.738419444895921</c:v>
                </c:pt>
                <c:pt idx="7">
                  <c:v>16.71233018987326</c:v>
                </c:pt>
                <c:pt idx="8">
                  <c:v>16.654494928722556</c:v>
                </c:pt>
                <c:pt idx="9">
                  <c:v>16.564948579071288</c:v>
                </c:pt>
                <c:pt idx="10">
                  <c:v>16.443837211867386</c:v>
                </c:pt>
                <c:pt idx="11">
                  <c:v>16.291413744925975</c:v>
                </c:pt>
                <c:pt idx="12">
                  <c:v>16.108034331581102</c:v>
                </c:pt>
                <c:pt idx="13">
                  <c:v>15.894155226777738</c:v>
                </c:pt>
                <c:pt idx="14">
                  <c:v>15.650329981495513</c:v>
                </c:pt>
                <c:pt idx="15">
                  <c:v>15.377206865517756</c:v>
                </c:pt>
                <c:pt idx="16">
                  <c:v>15.075526455244679</c:v>
                </c:pt>
                <c:pt idx="17">
                  <c:v>14.746119352216654</c:v>
                </c:pt>
                <c:pt idx="18">
                  <c:v>14.389904022646455</c:v>
                </c:pt>
                <c:pt idx="19">
                  <c:v>14.007884771228843</c:v>
                </c:pt>
                <c:pt idx="20">
                  <c:v>13.601149886204595</c:v>
                </c:pt>
                <c:pt idx="21">
                  <c:v>13.170870019629923</c:v>
                </c:pt>
                <c:pt idx="22">
                  <c:v>12.718296900103626</c:v>
                </c:pt>
                <c:pt idx="23">
                  <c:v>12.244762518974728</c:v>
                </c:pt>
                <c:pt idx="24">
                  <c:v>11.751678991314597</c:v>
                </c:pt>
                <c:pt idx="25">
                  <c:v>11.240539378879998</c:v>
                </c:pt>
                <c:pt idx="26">
                  <c:v>10.712919888447738</c:v>
                </c:pt>
                <c:pt idx="27">
                  <c:v>10.170484048930975</c:v>
                </c:pt>
                <c:pt idx="28">
                  <c:v>9.6149897642394855</c:v>
                </c:pt>
                <c:pt idx="29">
                  <c:v>9.0483006043355338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9F-4CF7-97F5-FBF8348AA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0527216"/>
        <c:axId val="1638694032"/>
      </c:lineChart>
      <c:catAx>
        <c:axId val="1740527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94032"/>
        <c:crosses val="autoZero"/>
        <c:auto val="1"/>
        <c:lblAlgn val="ctr"/>
        <c:lblOffset val="100"/>
        <c:noMultiLvlLbl val="0"/>
      </c:catAx>
      <c:valAx>
        <c:axId val="16386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HTBar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52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Figure</a:t>
            </a:r>
            <a:r>
              <a:rPr lang="en-IN" baseline="0"/>
              <a:t> 5-A: </a:t>
            </a:r>
            <a:r>
              <a:rPr lang="en-IN" sz="1400" b="0" i="0" u="none" strike="noStrike" baseline="0"/>
              <a:t>Comparison of HTBar for each month (Sep-Nov) representing fall season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September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1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359-4EF1-B089-030B63E31B75}"/>
              </c:ext>
            </c:extLst>
          </c:dPt>
          <c:cat>
            <c:numRef>
              <c:f>HTBar!$B$12:$B$41</c:f>
              <c:numCache>
                <c:formatCode>General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63</c:v>
                </c:pt>
                <c:pt idx="21">
                  <c:v>66</c:v>
                </c:pt>
                <c:pt idx="22">
                  <c:v>69</c:v>
                </c:pt>
                <c:pt idx="23">
                  <c:v>72</c:v>
                </c:pt>
                <c:pt idx="24">
                  <c:v>75</c:v>
                </c:pt>
                <c:pt idx="25">
                  <c:v>78</c:v>
                </c:pt>
                <c:pt idx="26">
                  <c:v>81</c:v>
                </c:pt>
                <c:pt idx="27">
                  <c:v>84</c:v>
                </c:pt>
                <c:pt idx="28">
                  <c:v>87</c:v>
                </c:pt>
                <c:pt idx="29">
                  <c:v>90</c:v>
                </c:pt>
              </c:numCache>
            </c:numRef>
          </c:cat>
          <c:val>
            <c:numRef>
              <c:f>HTBar!$M$43:$M$72</c:f>
              <c:numCache>
                <c:formatCode>General</c:formatCode>
                <c:ptCount val="30"/>
                <c:pt idx="0">
                  <c:v>11.927681727279719</c:v>
                </c:pt>
                <c:pt idx="1">
                  <c:v>12.20415172616857</c:v>
                </c:pt>
                <c:pt idx="2">
                  <c:v>12.456637927426623</c:v>
                </c:pt>
                <c:pt idx="3">
                  <c:v>12.684437168915588</c:v>
                </c:pt>
                <c:pt idx="4">
                  <c:v>12.886916304846389</c:v>
                </c:pt>
                <c:pt idx="5">
                  <c:v>13.063513369684715</c:v>
                </c:pt>
                <c:pt idx="6">
                  <c:v>13.213738711212031</c:v>
                </c:pt>
                <c:pt idx="7">
                  <c:v>13.337176037456739</c:v>
                </c:pt>
                <c:pt idx="8">
                  <c:v>13.433483340719738</c:v>
                </c:pt>
                <c:pt idx="9">
                  <c:v>13.502393673647783</c:v>
                </c:pt>
                <c:pt idx="10">
                  <c:v>13.543715759996498</c:v>
                </c:pt>
                <c:pt idx="11">
                  <c:v>13.557334427944353</c:v>
                </c:pt>
                <c:pt idx="12">
                  <c:v>13.54321085749598</c:v>
                </c:pt>
                <c:pt idx="13">
                  <c:v>13.501382636208584</c:v>
                </c:pt>
                <c:pt idx="14">
                  <c:v>13.431963619535988</c:v>
                </c:pt>
                <c:pt idx="15">
                  <c:v>13.33514359373301</c:v>
                </c:pt>
                <c:pt idx="16">
                  <c:v>13.211187740642028</c:v>
                </c:pt>
                <c:pt idx="17">
                  <c:v>13.060435904893783</c:v>
                </c:pt>
                <c:pt idx="18">
                  <c:v>12.883301665165927</c:v>
                </c:pt>
                <c:pt idx="19">
                  <c:v>12.680271212213095</c:v>
                </c:pt>
                <c:pt idx="20">
                  <c:v>12.451902037461835</c:v>
                </c:pt>
                <c:pt idx="21">
                  <c:v>12.198821437106877</c:v>
                </c:pt>
                <c:pt idx="22">
                  <c:v>11.921724837916042</c:v>
                </c:pt>
                <c:pt idx="23">
                  <c:v>11.621373952437528</c:v>
                </c:pt>
                <c:pt idx="24">
                  <c:v>11.298594773129741</c:v>
                </c:pt>
                <c:pt idx="25">
                  <c:v>10.954275417289763</c:v>
                </c:pt>
                <c:pt idx="26">
                  <c:v>10.589363837835347</c:v>
                </c:pt>
                <c:pt idx="27">
                  <c:v>10.204865419466234</c:v>
                </c:pt>
                <c:pt idx="28">
                  <c:v>9.8018404862629129</c:v>
                </c:pt>
                <c:pt idx="29">
                  <c:v>9.3814017566648449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4A-491C-A34C-249CC4BAAABA}"/>
            </c:ext>
          </c:extLst>
        </c:ser>
        <c:ser>
          <c:idx val="1"/>
          <c:order val="1"/>
          <c:tx>
            <c:v>October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7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359-4EF1-B089-030B63E31B75}"/>
              </c:ext>
            </c:extLst>
          </c:dPt>
          <c:dPt>
            <c:idx val="29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359-4EF1-B089-030B63E31B75}"/>
              </c:ext>
            </c:extLst>
          </c:dPt>
          <c:cat>
            <c:numRef>
              <c:f>HTBar!$B$12:$B$41</c:f>
              <c:numCache>
                <c:formatCode>General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63</c:v>
                </c:pt>
                <c:pt idx="21">
                  <c:v>66</c:v>
                </c:pt>
                <c:pt idx="22">
                  <c:v>69</c:v>
                </c:pt>
                <c:pt idx="23">
                  <c:v>72</c:v>
                </c:pt>
                <c:pt idx="24">
                  <c:v>75</c:v>
                </c:pt>
                <c:pt idx="25">
                  <c:v>78</c:v>
                </c:pt>
                <c:pt idx="26">
                  <c:v>81</c:v>
                </c:pt>
                <c:pt idx="27">
                  <c:v>84</c:v>
                </c:pt>
                <c:pt idx="28">
                  <c:v>87</c:v>
                </c:pt>
                <c:pt idx="29">
                  <c:v>90</c:v>
                </c:pt>
              </c:numCache>
            </c:numRef>
          </c:cat>
          <c:val>
            <c:numRef>
              <c:f>HTBar!$N$43:$N$72</c:f>
              <c:numCache>
                <c:formatCode>General</c:formatCode>
                <c:ptCount val="30"/>
                <c:pt idx="0">
                  <c:v>7.3532410836058695</c:v>
                </c:pt>
                <c:pt idx="1">
                  <c:v>7.6720618818999835</c:v>
                </c:pt>
                <c:pt idx="2">
                  <c:v>7.9755885292351767</c:v>
                </c:pt>
                <c:pt idx="3">
                  <c:v>8.2629890801689818</c:v>
                </c:pt>
                <c:pt idx="4">
                  <c:v>8.5334757897682572</c:v>
                </c:pt>
                <c:pt idx="5">
                  <c:v>8.7863072727632936</c:v>
                </c:pt>
                <c:pt idx="6">
                  <c:v>9.0207905356332994</c:v>
                </c:pt>
                <c:pt idx="7">
                  <c:v>9.2362828760534814</c:v>
                </c:pt>
                <c:pt idx="8">
                  <c:v>9.4321936444974348</c:v>
                </c:pt>
                <c:pt idx="9">
                  <c:v>9.6079858631664496</c:v>
                </c:pt>
                <c:pt idx="10">
                  <c:v>9.7631776978083167</c:v>
                </c:pt>
                <c:pt idx="11">
                  <c:v>9.8973437783915372</c:v>
                </c:pt>
                <c:pt idx="12">
                  <c:v>10.010116365015001</c:v>
                </c:pt>
                <c:pt idx="13">
                  <c:v>10.101186355857504</c:v>
                </c:pt>
                <c:pt idx="14">
                  <c:v>10.17030413440434</c:v>
                </c:pt>
                <c:pt idx="15">
                  <c:v>10.217280253628831</c:v>
                </c:pt>
                <c:pt idx="16">
                  <c:v>10.241985955253449</c:v>
                </c:pt>
                <c:pt idx="17">
                  <c:v>10.244353522667318</c:v>
                </c:pt>
                <c:pt idx="18">
                  <c:v>10.224376466532725</c:v>
                </c:pt>
                <c:pt idx="19">
                  <c:v>10.182109542571943</c:v>
                </c:pt>
                <c:pt idx="20">
                  <c:v>10.117668601485615</c:v>
                </c:pt>
                <c:pt idx="21">
                  <c:v>10.031230271414021</c:v>
                </c:pt>
                <c:pt idx="22">
                  <c:v>9.9230314738116316</c:v>
                </c:pt>
                <c:pt idx="23">
                  <c:v>9.793368774061868</c:v>
                </c:pt>
                <c:pt idx="24">
                  <c:v>9.6425975686120058</c:v>
                </c:pt>
                <c:pt idx="25">
                  <c:v>9.4711311108562004</c:v>
                </c:pt>
                <c:pt idx="26">
                  <c:v>9.279439378436674</c:v>
                </c:pt>
                <c:pt idx="27">
                  <c:v>9.0680477850676624</c:v>
                </c:pt>
                <c:pt idx="28">
                  <c:v>8.8375357404129353</c:v>
                </c:pt>
                <c:pt idx="29">
                  <c:v>8.5885350619641994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4A-491C-A34C-249CC4BAAABA}"/>
            </c:ext>
          </c:extLst>
        </c:ser>
        <c:ser>
          <c:idx val="2"/>
          <c:order val="2"/>
          <c:tx>
            <c:v>November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>
                      <a:alpha val="93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359-4EF1-B089-030B63E31B75}"/>
              </c:ext>
            </c:extLst>
          </c:dPt>
          <c:dPt>
            <c:idx val="22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359-4EF1-B089-030B63E31B75}"/>
              </c:ext>
            </c:extLst>
          </c:dPt>
          <c:dPt>
            <c:idx val="29"/>
            <c:marker>
              <c:symbol val="triangle"/>
              <c:size val="5"/>
              <c:spPr>
                <a:solidFill>
                  <a:srgbClr val="FF0000"/>
                </a:solidFill>
                <a:ln w="349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359-4EF1-B089-030B63E31B75}"/>
              </c:ext>
            </c:extLst>
          </c:dPt>
          <c:cat>
            <c:numRef>
              <c:f>HTBar!$B$12:$B$41</c:f>
              <c:numCache>
                <c:formatCode>General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63</c:v>
                </c:pt>
                <c:pt idx="21">
                  <c:v>66</c:v>
                </c:pt>
                <c:pt idx="22">
                  <c:v>69</c:v>
                </c:pt>
                <c:pt idx="23">
                  <c:v>72</c:v>
                </c:pt>
                <c:pt idx="24">
                  <c:v>75</c:v>
                </c:pt>
                <c:pt idx="25">
                  <c:v>78</c:v>
                </c:pt>
                <c:pt idx="26">
                  <c:v>81</c:v>
                </c:pt>
                <c:pt idx="27">
                  <c:v>84</c:v>
                </c:pt>
                <c:pt idx="28">
                  <c:v>87</c:v>
                </c:pt>
                <c:pt idx="29">
                  <c:v>90</c:v>
                </c:pt>
              </c:numCache>
            </c:numRef>
          </c:cat>
          <c:val>
            <c:numRef>
              <c:f>HTBar!$O$43:$O$72</c:f>
              <c:numCache>
                <c:formatCode>General</c:formatCode>
                <c:ptCount val="30"/>
                <c:pt idx="0">
                  <c:v>5.1113582989098241</c:v>
                </c:pt>
                <c:pt idx="1">
                  <c:v>5.497146918428399</c:v>
                </c:pt>
                <c:pt idx="2">
                  <c:v>5.872308438765466</c:v>
                </c:pt>
                <c:pt idx="3">
                  <c:v>6.2358145682709383</c:v>
                </c:pt>
                <c:pt idx="4">
                  <c:v>6.5866689619108385</c:v>
                </c:pt>
                <c:pt idx="5">
                  <c:v>6.9239099521797938</c:v>
                </c:pt>
                <c:pt idx="6">
                  <c:v>7.2466131849648088</c:v>
                </c:pt>
                <c:pt idx="7">
                  <c:v>7.5538941531356469</c:v>
                </c:pt>
                <c:pt idx="8">
                  <c:v>7.8449106209173918</c:v>
                </c:pt>
                <c:pt idx="9">
                  <c:v>8.1188649324001592</c:v>
                </c:pt>
                <c:pt idx="10">
                  <c:v>8.375006197858502</c:v>
                </c:pt>
                <c:pt idx="11">
                  <c:v>8.6126323518879655</c:v>
                </c:pt>
                <c:pt idx="12">
                  <c:v>8.8310920777175426</c:v>
                </c:pt>
                <c:pt idx="13">
                  <c:v>9.0297865924236849</c:v>
                </c:pt>
                <c:pt idx="14">
                  <c:v>9.2081712881526716</c:v>
                </c:pt>
                <c:pt idx="15">
                  <c:v>9.3657572248528744</c:v>
                </c:pt>
                <c:pt idx="16">
                  <c:v>9.5021124704254643</c:v>
                </c:pt>
                <c:pt idx="17">
                  <c:v>9.616863284620262</c:v>
                </c:pt>
                <c:pt idx="18">
                  <c:v>9.7096951434317909</c:v>
                </c:pt>
                <c:pt idx="19">
                  <c:v>9.7803536011877146</c:v>
                </c:pt>
                <c:pt idx="20">
                  <c:v>9.8286449879667313</c:v>
                </c:pt>
                <c:pt idx="21">
                  <c:v>9.8544369404343719</c:v>
                </c:pt>
                <c:pt idx="22">
                  <c:v>9.8576587646417018</c:v>
                </c:pt>
                <c:pt idx="23">
                  <c:v>9.8383016297925145</c:v>
                </c:pt>
                <c:pt idx="24">
                  <c:v>9.7964185924479281</c:v>
                </c:pt>
                <c:pt idx="25">
                  <c:v>9.7321244511020577</c:v>
                </c:pt>
                <c:pt idx="26">
                  <c:v>9.6455954315272976</c:v>
                </c:pt>
                <c:pt idx="27">
                  <c:v>9.5370687037517463</c:v>
                </c:pt>
                <c:pt idx="28">
                  <c:v>9.4068417319926336</c:v>
                </c:pt>
                <c:pt idx="29">
                  <c:v>9.2552714593275827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4A-491C-A34C-249CC4BAA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7991344"/>
        <c:axId val="1638691536"/>
      </c:lineChart>
      <c:catAx>
        <c:axId val="181799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91536"/>
        <c:crosses val="autoZero"/>
        <c:auto val="1"/>
        <c:lblAlgn val="ctr"/>
        <c:lblOffset val="100"/>
        <c:noMultiLvlLbl val="0"/>
      </c:catAx>
      <c:valAx>
        <c:axId val="16386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HTBar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9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Figure</a:t>
            </a:r>
            <a:r>
              <a:rPr lang="en-IN" baseline="0"/>
              <a:t> 6-A: </a:t>
            </a:r>
            <a:r>
              <a:rPr lang="en-IN" sz="1400" b="0" i="0" u="none" strike="noStrike" baseline="0"/>
              <a:t>Comparison of the maximum monthly average daily solar radiation.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HBar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HTBar!$E$1:$P$1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HTBar!$E$3:$P$3</c:f>
              <c:numCache>
                <c:formatCode>General</c:formatCode>
                <c:ptCount val="12"/>
                <c:pt idx="0">
                  <c:v>5.1840000000000002</c:v>
                </c:pt>
                <c:pt idx="1">
                  <c:v>8.4600000000000009</c:v>
                </c:pt>
                <c:pt idx="2">
                  <c:v>12.852</c:v>
                </c:pt>
                <c:pt idx="3">
                  <c:v>16.740000000000002</c:v>
                </c:pt>
                <c:pt idx="4">
                  <c:v>18.252000000000002</c:v>
                </c:pt>
                <c:pt idx="5">
                  <c:v>19.655999999999999</c:v>
                </c:pt>
                <c:pt idx="6">
                  <c:v>17.891999999999999</c:v>
                </c:pt>
                <c:pt idx="7">
                  <c:v>16.056000000000001</c:v>
                </c:pt>
                <c:pt idx="8">
                  <c:v>11.628</c:v>
                </c:pt>
                <c:pt idx="9">
                  <c:v>7.02</c:v>
                </c:pt>
                <c:pt idx="10">
                  <c:v>4.7160000000000002</c:v>
                </c:pt>
                <c:pt idx="11">
                  <c:v>3.9960000000000004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D-4ED2-8B7A-CFD398A4733B}"/>
            </c:ext>
          </c:extLst>
        </c:ser>
        <c:ser>
          <c:idx val="1"/>
          <c:order val="1"/>
          <c:tx>
            <c:v>HTBar Max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HTBar!$E$1:$P$1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HTBar!$E$74:$P$74</c:f>
              <c:numCache>
                <c:formatCode>General</c:formatCode>
                <c:ptCount val="12"/>
                <c:pt idx="0">
                  <c:v>13.63627081425461</c:v>
                </c:pt>
                <c:pt idx="1">
                  <c:v>16.248736961182967</c:v>
                </c:pt>
                <c:pt idx="2">
                  <c:v>17.703008718875871</c:v>
                </c:pt>
                <c:pt idx="3">
                  <c:v>18.420867221571282</c:v>
                </c:pt>
                <c:pt idx="4">
                  <c:v>18.490524665673021</c:v>
                </c:pt>
                <c:pt idx="5">
                  <c:v>19.676443772720098</c:v>
                </c:pt>
                <c:pt idx="6">
                  <c:v>17.970451118928533</c:v>
                </c:pt>
                <c:pt idx="7">
                  <c:v>16.738419444895921</c:v>
                </c:pt>
                <c:pt idx="8">
                  <c:v>13.557334427944353</c:v>
                </c:pt>
                <c:pt idx="9">
                  <c:v>10.244353522667318</c:v>
                </c:pt>
                <c:pt idx="10">
                  <c:v>9.8576587646417018</c:v>
                </c:pt>
                <c:pt idx="11">
                  <c:v>10.978248377659636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CD-4ED2-8B7A-CFD398A47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498896"/>
        <c:axId val="1638682800"/>
      </c:lineChart>
      <c:catAx>
        <c:axId val="1535498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82800"/>
        <c:crosses val="autoZero"/>
        <c:auto val="1"/>
        <c:lblAlgn val="ctr"/>
        <c:lblOffset val="100"/>
        <c:noMultiLvlLbl val="0"/>
      </c:catAx>
      <c:valAx>
        <c:axId val="163868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MJ/m2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49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Figure 7-A: Comparison of ITBar Year for each hour-pair in the year.</a:t>
            </a:r>
            <a:r>
              <a:rPr lang="en-IN" sz="1400" b="0" i="1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ITBar Year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ITBar!$B$158:$Q$158</c:f>
              <c:strCache>
                <c:ptCount val="16"/>
                <c:pt idx="0">
                  <c:v>4-5 am</c:v>
                </c:pt>
                <c:pt idx="1">
                  <c:v>5-6 am</c:v>
                </c:pt>
                <c:pt idx="2">
                  <c:v>6-7 am</c:v>
                </c:pt>
                <c:pt idx="3">
                  <c:v>7-8 am</c:v>
                </c:pt>
                <c:pt idx="4">
                  <c:v>8-9 am</c:v>
                </c:pt>
                <c:pt idx="5">
                  <c:v>9-10 am</c:v>
                </c:pt>
                <c:pt idx="6">
                  <c:v>10-11 am</c:v>
                </c:pt>
                <c:pt idx="7">
                  <c:v>11-12 am</c:v>
                </c:pt>
                <c:pt idx="8">
                  <c:v>12-1 pm</c:v>
                </c:pt>
                <c:pt idx="9">
                  <c:v>1-2 pm</c:v>
                </c:pt>
                <c:pt idx="10">
                  <c:v>2-3 pm</c:v>
                </c:pt>
                <c:pt idx="11">
                  <c:v>3-4pm</c:v>
                </c:pt>
                <c:pt idx="12">
                  <c:v>4-5pm</c:v>
                </c:pt>
                <c:pt idx="13">
                  <c:v>5-6 pm</c:v>
                </c:pt>
                <c:pt idx="14">
                  <c:v>6-7 pm</c:v>
                </c:pt>
                <c:pt idx="15">
                  <c:v>7-8 pm</c:v>
                </c:pt>
              </c:strCache>
            </c:strRef>
          </c:cat>
          <c:val>
            <c:numRef>
              <c:f>ITBar!$B$159:$Q$159</c:f>
              <c:numCache>
                <c:formatCode>0.0000</c:formatCode>
                <c:ptCount val="16"/>
                <c:pt idx="0">
                  <c:v>8.3932709141909354E-2</c:v>
                </c:pt>
                <c:pt idx="1">
                  <c:v>0.24838912595505425</c:v>
                </c:pt>
                <c:pt idx="2">
                  <c:v>0.48835062225191045</c:v>
                </c:pt>
                <c:pt idx="3">
                  <c:v>0.76112539005050728</c:v>
                </c:pt>
                <c:pt idx="4">
                  <c:v>1.0954793647051762</c:v>
                </c:pt>
                <c:pt idx="5">
                  <c:v>1.5401561639459402</c:v>
                </c:pt>
                <c:pt idx="6">
                  <c:v>1.8934817051806039</c:v>
                </c:pt>
                <c:pt idx="7">
                  <c:v>2.0890318128039271</c:v>
                </c:pt>
                <c:pt idx="8">
                  <c:v>2.0890318128039271</c:v>
                </c:pt>
                <c:pt idx="9">
                  <c:v>1.8934817051806039</c:v>
                </c:pt>
                <c:pt idx="10">
                  <c:v>1.5401561639459402</c:v>
                </c:pt>
                <c:pt idx="11">
                  <c:v>1.0954793647051762</c:v>
                </c:pt>
                <c:pt idx="12">
                  <c:v>0.76112539005050728</c:v>
                </c:pt>
                <c:pt idx="13">
                  <c:v>0.44061495854435961</c:v>
                </c:pt>
                <c:pt idx="14">
                  <c:v>0.2437765263274515</c:v>
                </c:pt>
                <c:pt idx="15">
                  <c:v>8.3932709141909354E-2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42-492C-9685-4FF0038C9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5312864"/>
        <c:axId val="1543545408"/>
      </c:lineChart>
      <c:catAx>
        <c:axId val="1755312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</a:t>
                </a:r>
                <a:r>
                  <a:rPr lang="en-IN" baseline="0"/>
                  <a:t> Pair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45408"/>
        <c:crosses val="autoZero"/>
        <c:auto val="1"/>
        <c:lblAlgn val="ctr"/>
        <c:lblOffset val="100"/>
        <c:noMultiLvlLbl val="0"/>
      </c:catAx>
      <c:valAx>
        <c:axId val="15435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ITBar</a:t>
                </a:r>
                <a:r>
                  <a:rPr lang="en-IN" baseline="0"/>
                  <a:t> 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1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466725</xdr:colOff>
      <xdr:row>7</xdr:row>
      <xdr:rowOff>185737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B97ED4-045F-494E-B74B-4526FA8F7FAB}"/>
            </a:ext>
          </a:extLst>
        </xdr:cNvPr>
        <xdr:cNvSpPr txBox="1"/>
      </xdr:nvSpPr>
      <xdr:spPr>
        <a:xfrm>
          <a:off x="5819775" y="1519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32</xdr:col>
      <xdr:colOff>5602</xdr:colOff>
      <xdr:row>1</xdr:row>
      <xdr:rowOff>180414</xdr:rowOff>
    </xdr:from>
    <xdr:to>
      <xdr:col>44</xdr:col>
      <xdr:colOff>0</xdr:colOff>
      <xdr:row>21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CB39BB-D43A-49DD-B333-2E8A41B99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5603</xdr:colOff>
      <xdr:row>24</xdr:row>
      <xdr:rowOff>124383</xdr:rowOff>
    </xdr:from>
    <xdr:to>
      <xdr:col>44</xdr:col>
      <xdr:colOff>11206</xdr:colOff>
      <xdr:row>46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DE2CDC-61C9-40D5-BF2A-2C4A74F59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599515</xdr:colOff>
      <xdr:row>46</xdr:row>
      <xdr:rowOff>180414</xdr:rowOff>
    </xdr:from>
    <xdr:to>
      <xdr:col>44</xdr:col>
      <xdr:colOff>0</xdr:colOff>
      <xdr:row>69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B5FFFE-D00C-4B4B-9A8C-BF8D36163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5602</xdr:colOff>
      <xdr:row>70</xdr:row>
      <xdr:rowOff>1120</xdr:rowOff>
    </xdr:from>
    <xdr:to>
      <xdr:col>43</xdr:col>
      <xdr:colOff>605117</xdr:colOff>
      <xdr:row>90</xdr:row>
      <xdr:rowOff>11206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B4E1FF-608B-440A-8CEE-CB8018CE2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0</xdr:colOff>
      <xdr:row>91</xdr:row>
      <xdr:rowOff>1120</xdr:rowOff>
    </xdr:from>
    <xdr:to>
      <xdr:col>44</xdr:col>
      <xdr:colOff>11205</xdr:colOff>
      <xdr:row>109</xdr:row>
      <xdr:rowOff>179294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D17BC4-A863-4E15-BC98-4A94D8C24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599514</xdr:colOff>
      <xdr:row>36</xdr:row>
      <xdr:rowOff>1120</xdr:rowOff>
    </xdr:from>
    <xdr:to>
      <xdr:col>31</xdr:col>
      <xdr:colOff>0</xdr:colOff>
      <xdr:row>54</xdr:row>
      <xdr:rowOff>179294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635C8B-D4E9-496A-B4A3-86E41E429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923924</xdr:colOff>
      <xdr:row>159</xdr:row>
      <xdr:rowOff>185737</xdr:rowOff>
    </xdr:from>
    <xdr:to>
      <xdr:col>23</xdr:col>
      <xdr:colOff>800099</xdr:colOff>
      <xdr:row>177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5F8A0-A955-4A9F-81D8-4A805108B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8"/>
  <sheetViews>
    <sheetView tabSelected="1" topLeftCell="D25" zoomScaleNormal="100" workbookViewId="0">
      <selection activeCell="E92" sqref="E92"/>
    </sheetView>
  </sheetViews>
  <sheetFormatPr defaultRowHeight="15" x14ac:dyDescent="0.25"/>
  <cols>
    <col min="1" max="1" width="17.42578125" bestFit="1" customWidth="1"/>
    <col min="2" max="2" width="19.85546875" bestFit="1" customWidth="1"/>
    <col min="4" max="4" width="19" customWidth="1"/>
    <col min="5" max="7" width="12.7109375" bestFit="1" customWidth="1"/>
    <col min="8" max="9" width="12" bestFit="1" customWidth="1"/>
    <col min="18" max="18" width="17.42578125" bestFit="1" customWidth="1"/>
    <col min="19" max="19" width="12.42578125" bestFit="1" customWidth="1"/>
  </cols>
  <sheetData>
    <row r="1" spans="1:31" x14ac:dyDescent="0.25">
      <c r="A1" s="3" t="s">
        <v>0</v>
      </c>
      <c r="D1" s="2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</row>
    <row r="2" spans="1:31" x14ac:dyDescent="0.25">
      <c r="A2" s="4" t="s">
        <v>1</v>
      </c>
      <c r="B2" s="2">
        <v>48.55</v>
      </c>
      <c r="D2" t="s">
        <v>19</v>
      </c>
      <c r="E2" s="1">
        <v>1.44</v>
      </c>
      <c r="F2" s="1">
        <v>2.35</v>
      </c>
      <c r="G2" s="1">
        <v>3.57</v>
      </c>
      <c r="H2" s="1">
        <v>4.6500000000000004</v>
      </c>
      <c r="I2" s="1">
        <v>5.07</v>
      </c>
      <c r="J2" s="1">
        <v>5.46</v>
      </c>
      <c r="K2" s="1">
        <v>4.97</v>
      </c>
      <c r="L2" s="1">
        <v>4.46</v>
      </c>
      <c r="M2" s="1">
        <v>3.23</v>
      </c>
      <c r="N2" s="1">
        <v>1.95</v>
      </c>
      <c r="O2" s="1">
        <v>1.31</v>
      </c>
      <c r="P2" s="1">
        <v>1.1100000000000001</v>
      </c>
    </row>
    <row r="3" spans="1:31" x14ac:dyDescent="0.25">
      <c r="A3" s="4" t="s">
        <v>2</v>
      </c>
      <c r="B3" s="2">
        <v>71.650000000000006</v>
      </c>
      <c r="D3" t="s">
        <v>20</v>
      </c>
      <c r="E3" s="1">
        <f>PRODUCT(E2,3.6)</f>
        <v>5.1840000000000002</v>
      </c>
      <c r="F3" s="1">
        <f t="shared" ref="F3:P3" si="0">PRODUCT(F2,3.6)</f>
        <v>8.4600000000000009</v>
      </c>
      <c r="G3" s="1">
        <f t="shared" si="0"/>
        <v>12.852</v>
      </c>
      <c r="H3" s="1">
        <f t="shared" si="0"/>
        <v>16.740000000000002</v>
      </c>
      <c r="I3" s="1">
        <f t="shared" si="0"/>
        <v>18.252000000000002</v>
      </c>
      <c r="J3" s="1">
        <f t="shared" si="0"/>
        <v>19.655999999999999</v>
      </c>
      <c r="K3" s="1">
        <f t="shared" si="0"/>
        <v>17.891999999999999</v>
      </c>
      <c r="L3" s="1">
        <f t="shared" si="0"/>
        <v>16.056000000000001</v>
      </c>
      <c r="M3" s="1">
        <f t="shared" si="0"/>
        <v>11.628</v>
      </c>
      <c r="N3" s="1">
        <f t="shared" si="0"/>
        <v>7.02</v>
      </c>
      <c r="O3" s="1">
        <f t="shared" si="0"/>
        <v>4.7160000000000002</v>
      </c>
      <c r="P3" s="1">
        <f t="shared" si="0"/>
        <v>3.9960000000000004</v>
      </c>
      <c r="Q3" s="1"/>
      <c r="R3" s="107" t="s">
        <v>30</v>
      </c>
      <c r="S3" t="str">
        <f>$A$12&amp;TEXT(B12," - ")&amp;B12</f>
        <v>Beta - 3</v>
      </c>
      <c r="T3" s="1">
        <f t="shared" ref="T3:AE3" si="1">MIN(DEGREES(ACOS((-TAN($B2*PI()/180))*TAN(E6*PI()/180))),DEGREES(ACOS((-TAN(($B2-$B12)*PI()/180))*TAN(E6*PI()/180))))</f>
        <v>64.357071680080139</v>
      </c>
      <c r="U3" s="1">
        <f t="shared" si="1"/>
        <v>74.902424284262636</v>
      </c>
      <c r="V3" s="1">
        <f t="shared" si="1"/>
        <v>87.259767273219694</v>
      </c>
      <c r="W3" s="1">
        <f t="shared" si="1"/>
        <v>99.731448866021836</v>
      </c>
      <c r="X3" s="1">
        <f t="shared" si="1"/>
        <v>110.2957820462281</v>
      </c>
      <c r="Y3" s="1">
        <f t="shared" si="1"/>
        <v>115.75401920440625</v>
      </c>
      <c r="Z3" s="1">
        <f t="shared" si="1"/>
        <v>113.26970197246652</v>
      </c>
      <c r="AA3" s="1">
        <f t="shared" si="1"/>
        <v>104.11597332135989</v>
      </c>
      <c r="AB3" s="1">
        <f t="shared" si="1"/>
        <v>92.261577427598297</v>
      </c>
      <c r="AC3" s="1">
        <f t="shared" si="1"/>
        <v>78.959709277416707</v>
      </c>
      <c r="AD3" s="1">
        <f t="shared" si="1"/>
        <v>67.174154403625039</v>
      </c>
      <c r="AE3" s="1">
        <f t="shared" si="1"/>
        <v>61.198024919238009</v>
      </c>
    </row>
    <row r="4" spans="1:31" x14ac:dyDescent="0.25">
      <c r="A4" s="4" t="s">
        <v>3</v>
      </c>
      <c r="B4" s="96" t="s">
        <v>4</v>
      </c>
      <c r="D4" t="s">
        <v>21</v>
      </c>
      <c r="E4" s="1">
        <v>0.31</v>
      </c>
      <c r="F4" s="1">
        <v>0.28000000000000003</v>
      </c>
      <c r="G4" s="1">
        <v>0.3</v>
      </c>
      <c r="H4" s="1">
        <v>0.24</v>
      </c>
      <c r="I4" s="1">
        <v>0.09</v>
      </c>
      <c r="J4" s="1">
        <v>0.1</v>
      </c>
      <c r="K4" s="1">
        <v>0.1</v>
      </c>
      <c r="L4" s="1">
        <v>0.09</v>
      </c>
      <c r="M4" s="1">
        <v>0.1</v>
      </c>
      <c r="N4" s="1">
        <v>0.09</v>
      </c>
      <c r="O4" s="1">
        <v>0.21</v>
      </c>
      <c r="P4" s="1">
        <v>0.28000000000000003</v>
      </c>
      <c r="Q4" s="1"/>
      <c r="R4" s="107"/>
      <c r="S4" t="str">
        <f t="shared" ref="S4:S31" si="2">$A$12&amp;TEXT(B13," - ")&amp;B13</f>
        <v>Beta - 6</v>
      </c>
      <c r="T4" s="1">
        <f>MIN(DEGREES(ACOS((-TAN($B2*PI()/180))*TAN(E6*PI()/180))),DEGREES(ACOS((-TAN(($B2-$B13)*PI()/180))*TAN(E6*PI()/180))))</f>
        <v>64.357071680080139</v>
      </c>
      <c r="U4" s="1">
        <f t="shared" ref="U4:AE4" si="3">MIN(DEGREES(ACOS((-TAN($B2*PI()/180))*TAN(F6*PI()/180))),DEGREES(ACOS((-TAN(($B2-$B13)*PI()/180))*TAN(F6*PI()/180))))</f>
        <v>74.902424284262636</v>
      </c>
      <c r="V4" s="1">
        <f t="shared" si="3"/>
        <v>87.259767273219694</v>
      </c>
      <c r="W4" s="1">
        <f t="shared" si="3"/>
        <v>98.754950664937468</v>
      </c>
      <c r="X4" s="1">
        <f t="shared" si="3"/>
        <v>108.20073172054356</v>
      </c>
      <c r="Y4" s="1">
        <f t="shared" si="3"/>
        <v>113.03335399243038</v>
      </c>
      <c r="Z4" s="1">
        <f t="shared" si="3"/>
        <v>110.83905653072456</v>
      </c>
      <c r="AA4" s="1">
        <f t="shared" si="3"/>
        <v>102.6863826040525</v>
      </c>
      <c r="AB4" s="1">
        <f t="shared" si="3"/>
        <v>92.036409146937018</v>
      </c>
      <c r="AC4" s="1">
        <f t="shared" si="3"/>
        <v>78.959709277416707</v>
      </c>
      <c r="AD4" s="1">
        <f t="shared" si="3"/>
        <v>67.174154403625039</v>
      </c>
      <c r="AE4" s="1">
        <f t="shared" si="3"/>
        <v>61.198024919238009</v>
      </c>
    </row>
    <row r="5" spans="1:31" x14ac:dyDescent="0.25">
      <c r="A5" s="4" t="s">
        <v>5</v>
      </c>
      <c r="B5" s="2">
        <v>1367</v>
      </c>
      <c r="D5" t="s">
        <v>23</v>
      </c>
      <c r="E5" s="1">
        <v>17</v>
      </c>
      <c r="F5" s="1">
        <v>47</v>
      </c>
      <c r="G5" s="1">
        <v>75</v>
      </c>
      <c r="H5" s="1">
        <v>105</v>
      </c>
      <c r="I5" s="1">
        <v>135</v>
      </c>
      <c r="J5" s="1">
        <v>162</v>
      </c>
      <c r="K5" s="1">
        <v>198</v>
      </c>
      <c r="L5" s="1">
        <v>228</v>
      </c>
      <c r="M5" s="1">
        <v>258</v>
      </c>
      <c r="N5" s="1">
        <v>288</v>
      </c>
      <c r="O5" s="1">
        <v>318</v>
      </c>
      <c r="P5" s="1">
        <v>344</v>
      </c>
      <c r="Q5" s="1" t="s">
        <v>104</v>
      </c>
      <c r="R5" s="107"/>
      <c r="S5" t="str">
        <f t="shared" si="2"/>
        <v>Beta - 9</v>
      </c>
      <c r="T5" s="1">
        <f>MIN(DEGREES(ACOS((-TAN($B2*PI()/180))*TAN(E6*PI()/180))),DEGREES(ACOS((-TAN(($B2-$B14)*PI()/180))*TAN(E6*PI()/180))))</f>
        <v>64.357071680080139</v>
      </c>
      <c r="U5" s="1">
        <f t="shared" ref="U5:AE5" si="4">MIN(DEGREES(ACOS((-TAN($B2*PI()/180))*TAN(F6*PI()/180))),DEGREES(ACOS((-TAN(($B2-$B14)*PI()/180))*TAN(F6*PI()/180))))</f>
        <v>74.902424284262636</v>
      </c>
      <c r="V5" s="1">
        <f t="shared" si="4"/>
        <v>87.259767273219694</v>
      </c>
      <c r="W5" s="1">
        <f t="shared" si="4"/>
        <v>97.870316411566947</v>
      </c>
      <c r="X5" s="1">
        <f t="shared" si="4"/>
        <v>106.31967733904173</v>
      </c>
      <c r="Y5" s="1">
        <f t="shared" si="4"/>
        <v>110.60938024461319</v>
      </c>
      <c r="Z5" s="1">
        <f t="shared" si="4"/>
        <v>108.66519655058102</v>
      </c>
      <c r="AA5" s="1">
        <f t="shared" si="4"/>
        <v>101.39497300977997</v>
      </c>
      <c r="AB5" s="1">
        <f t="shared" si="4"/>
        <v>91.831938225019329</v>
      </c>
      <c r="AC5" s="1">
        <f t="shared" si="4"/>
        <v>78.959709277416707</v>
      </c>
      <c r="AD5" s="1">
        <f t="shared" si="4"/>
        <v>67.174154403625039</v>
      </c>
      <c r="AE5" s="1">
        <f t="shared" si="4"/>
        <v>61.198024919238009</v>
      </c>
    </row>
    <row r="6" spans="1:31" x14ac:dyDescent="0.25">
      <c r="D6" t="s">
        <v>22</v>
      </c>
      <c r="E6" s="1">
        <f>(23.45*SIN(360*((284+E5)/365)*PI()/180))</f>
        <v>-20.916962574476411</v>
      </c>
      <c r="F6" s="1">
        <f t="shared" ref="F6:P6" si="5">(23.45*SIN(360*((284+F5)/365)*PI()/180))</f>
        <v>-12.954608093780678</v>
      </c>
      <c r="G6" s="1">
        <f t="shared" si="5"/>
        <v>-2.4177348051423402</v>
      </c>
      <c r="H6" s="1">
        <f t="shared" si="5"/>
        <v>9.4148933468800724</v>
      </c>
      <c r="I6" s="1">
        <f t="shared" si="5"/>
        <v>18.791917517696167</v>
      </c>
      <c r="J6" s="1">
        <f t="shared" si="5"/>
        <v>23.085911002836561</v>
      </c>
      <c r="K6" s="1">
        <f t="shared" si="5"/>
        <v>21.18369356451386</v>
      </c>
      <c r="L6" s="1">
        <f t="shared" si="5"/>
        <v>13.454959682356431</v>
      </c>
      <c r="M6" s="1">
        <f t="shared" si="5"/>
        <v>2.2168867832133459</v>
      </c>
      <c r="N6" s="1">
        <f t="shared" si="5"/>
        <v>-9.5993972342263376</v>
      </c>
      <c r="O6" s="1">
        <f t="shared" si="5"/>
        <v>-18.911954741226161</v>
      </c>
      <c r="P6" s="1">
        <f t="shared" si="5"/>
        <v>-23.049627643930577</v>
      </c>
      <c r="Q6" s="1"/>
      <c r="R6" s="107"/>
      <c r="S6" t="str">
        <f t="shared" si="2"/>
        <v>Beta - 12</v>
      </c>
      <c r="T6" s="1">
        <f>MIN(DEGREES(ACOS((-TAN($B2*PI()/180))*TAN(E6*PI()/180))),DEGREES(ACOS((-TAN(($B2-$B15)*PI()/180))*TAN(E6*PI()/180))))</f>
        <v>64.357071680080139</v>
      </c>
      <c r="U6" s="1">
        <f t="shared" ref="U6:AE6" si="6">MIN(DEGREES(ACOS((-TAN($B2*PI()/180))*TAN(F6*PI()/180))),DEGREES(ACOS((-TAN(($B2-$B15)*PI()/180))*TAN(F6*PI()/180))))</f>
        <v>74.902424284262636</v>
      </c>
      <c r="V6" s="1">
        <f t="shared" si="6"/>
        <v>87.259767273219694</v>
      </c>
      <c r="W6" s="1">
        <f t="shared" si="6"/>
        <v>97.060738648755532</v>
      </c>
      <c r="X6" s="1">
        <f t="shared" si="6"/>
        <v>104.61049727971483</v>
      </c>
      <c r="Y6" s="1">
        <f t="shared" si="6"/>
        <v>108.42005317904264</v>
      </c>
      <c r="Z6" s="1">
        <f t="shared" si="6"/>
        <v>106.69598805445324</v>
      </c>
      <c r="AA6" s="1">
        <f t="shared" si="6"/>
        <v>100.21585895280596</v>
      </c>
      <c r="AB6" s="1">
        <f t="shared" si="6"/>
        <v>91.644452085788416</v>
      </c>
      <c r="AC6" s="1">
        <f t="shared" si="6"/>
        <v>78.959709277416707</v>
      </c>
      <c r="AD6" s="1">
        <f t="shared" si="6"/>
        <v>67.174154403625039</v>
      </c>
      <c r="AE6" s="1">
        <f t="shared" si="6"/>
        <v>61.198024919238009</v>
      </c>
    </row>
    <row r="7" spans="1:31" x14ac:dyDescent="0.25">
      <c r="D7" t="s">
        <v>24</v>
      </c>
      <c r="E7" s="1">
        <f>DEGREES(ACOS((-TAN($B2*PI()/180))*TAN(E6*PI()/180)))</f>
        <v>64.357071680080139</v>
      </c>
      <c r="F7" s="1">
        <f>DEGREES(ACOS((-TAN($B2*PI()/180))*TAN(F6*PI()/180)))</f>
        <v>74.902424284262636</v>
      </c>
      <c r="G7" s="1">
        <f>DEGREES(ACOS((-TAN($B2*PI()/180))*TAN(G6*PI()/180)))</f>
        <v>87.259767273219694</v>
      </c>
      <c r="H7" s="1">
        <f t="shared" ref="H7:P7" si="7">DEGREES(ACOS((-TAN($B2*PI()/180))*TAN(H6*PI()/180)))</f>
        <v>100.82155171216846</v>
      </c>
      <c r="I7" s="1">
        <f t="shared" si="7"/>
        <v>112.66128879051159</v>
      </c>
      <c r="J7" s="1">
        <f t="shared" si="7"/>
        <v>118.85737576285086</v>
      </c>
      <c r="K7" s="1">
        <f t="shared" si="7"/>
        <v>116.02818895494727</v>
      </c>
      <c r="L7" s="1">
        <f t="shared" si="7"/>
        <v>105.71759683820065</v>
      </c>
      <c r="M7" s="1">
        <f t="shared" si="7"/>
        <v>92.512203454174994</v>
      </c>
      <c r="N7" s="1">
        <f t="shared" si="7"/>
        <v>78.959709277416707</v>
      </c>
      <c r="O7" s="1">
        <f t="shared" si="7"/>
        <v>67.174154403625039</v>
      </c>
      <c r="P7" s="1">
        <f t="shared" si="7"/>
        <v>61.198024919238009</v>
      </c>
      <c r="Q7" s="1"/>
      <c r="R7" s="107"/>
      <c r="S7" t="str">
        <f t="shared" si="2"/>
        <v>Beta - 15</v>
      </c>
      <c r="T7" s="1">
        <f>MIN(DEGREES(ACOS((-TAN($B2*PI()/180))*TAN(E6*PI()/180))),DEGREES(ACOS((-TAN(($B2-$B16)*PI()/180))*TAN(E6*PI()/180))))</f>
        <v>64.357071680080139</v>
      </c>
      <c r="U7" s="1">
        <f t="shared" ref="U7:AE7" si="8">MIN(DEGREES(ACOS((-TAN($B2*PI()/180))*TAN(F6*PI()/180))),DEGREES(ACOS((-TAN(($B2-$B16)*PI()/180))*TAN(F6*PI()/180))))</f>
        <v>74.902424284262636</v>
      </c>
      <c r="V7" s="1">
        <f t="shared" si="8"/>
        <v>87.259767273219694</v>
      </c>
      <c r="W7" s="1">
        <f t="shared" si="8"/>
        <v>96.312976948708936</v>
      </c>
      <c r="X7" s="1">
        <f t="shared" si="8"/>
        <v>103.04094559831894</v>
      </c>
      <c r="Y7" s="1">
        <f t="shared" si="8"/>
        <v>106.41908614913395</v>
      </c>
      <c r="Z7" s="1">
        <f t="shared" si="8"/>
        <v>104.89203458390675</v>
      </c>
      <c r="AA7" s="1">
        <f t="shared" si="8"/>
        <v>99.128829944749938</v>
      </c>
      <c r="AB7" s="1">
        <f t="shared" si="8"/>
        <v>91.471004747088529</v>
      </c>
      <c r="AC7" s="1">
        <f t="shared" si="8"/>
        <v>78.959709277416707</v>
      </c>
      <c r="AD7" s="1">
        <f t="shared" si="8"/>
        <v>67.174154403625039</v>
      </c>
      <c r="AE7" s="1">
        <f t="shared" si="8"/>
        <v>61.198024919238009</v>
      </c>
    </row>
    <row r="8" spans="1:31" x14ac:dyDescent="0.25">
      <c r="D8" t="s">
        <v>25</v>
      </c>
      <c r="E8" s="1">
        <f>(24*3600*1367*(1 + (0.033*COS((360*E5*PI())/(365*180))))*((COS($B2*PI()/180)*COS(E6*PI()/180)*SIN(E7*PI()/180))+((PI()*E7/180)*SIN($B2*PI()/180)*SIN(E6*PI()/180))))/(PI()*1000000)</f>
        <v>9.9620947801884139</v>
      </c>
      <c r="F8" s="1">
        <f t="shared" ref="F8:P8" si="9">(24*3600*1367*(1 + (0.033*COS((360*F5*PI())/(365*180))))*((COS($B2*PI()/180)*COS(F6*PI()/180)*SIN(F7*PI()/180))+((PI()*F7/180)*SIN($B2*PI()/180)*SIN(F6*PI()/180))))/(PI()*1000000)</f>
        <v>15.503106115675998</v>
      </c>
      <c r="G8" s="1">
        <f t="shared" si="9"/>
        <v>23.235568728641997</v>
      </c>
      <c r="H8" s="1">
        <f t="shared" si="9"/>
        <v>31.976845538241953</v>
      </c>
      <c r="I8" s="1">
        <f t="shared" si="9"/>
        <v>38.696583913707329</v>
      </c>
      <c r="J8" s="1">
        <f t="shared" si="9"/>
        <v>41.641344197528916</v>
      </c>
      <c r="K8" s="1">
        <f t="shared" si="9"/>
        <v>40.152122576096495</v>
      </c>
      <c r="L8" s="1">
        <f t="shared" si="9"/>
        <v>34.568811619852539</v>
      </c>
      <c r="M8" s="1">
        <f t="shared" si="9"/>
        <v>26.369098705471654</v>
      </c>
      <c r="N8" s="1">
        <f t="shared" si="9"/>
        <v>17.749449808312985</v>
      </c>
      <c r="O8" s="1">
        <f t="shared" si="9"/>
        <v>11.242092877351924</v>
      </c>
      <c r="P8" s="1">
        <f t="shared" si="9"/>
        <v>8.5384218428827356</v>
      </c>
      <c r="Q8" s="1"/>
      <c r="R8" s="107"/>
      <c r="S8" t="str">
        <f t="shared" si="2"/>
        <v>Beta - 18</v>
      </c>
      <c r="T8" s="1">
        <f>MIN(DEGREES(ACOS((-TAN($B2*PI()/180))*TAN(E6*PI()/180))),DEGREES(ACOS((-TAN(($B2-$B17)*PI()/180))*TAN(E6*PI()/180))))</f>
        <v>64.357071680080139</v>
      </c>
      <c r="U8" s="1">
        <f t="shared" ref="U8:AE8" si="10">MIN(DEGREES(ACOS((-TAN($B2*PI()/180))*TAN(F6*PI()/180))),DEGREES(ACOS((-TAN(($B2-$B17)*PI()/180))*TAN(F6*PI()/180))))</f>
        <v>74.902424284262636</v>
      </c>
      <c r="V8" s="1">
        <f t="shared" si="10"/>
        <v>87.259767273219694</v>
      </c>
      <c r="W8" s="1">
        <f t="shared" si="10"/>
        <v>95.616419258054222</v>
      </c>
      <c r="X8" s="1">
        <f t="shared" si="10"/>
        <v>101.58577657832134</v>
      </c>
      <c r="Y8" s="1">
        <f t="shared" si="10"/>
        <v>104.57097499939211</v>
      </c>
      <c r="Z8" s="1">
        <f t="shared" si="10"/>
        <v>103.22280986544685</v>
      </c>
      <c r="AA8" s="1">
        <f t="shared" si="10"/>
        <v>98.11780727665527</v>
      </c>
      <c r="AB8" s="1">
        <f t="shared" si="10"/>
        <v>91.309220574148654</v>
      </c>
      <c r="AC8" s="1">
        <f t="shared" si="10"/>
        <v>78.959709277416707</v>
      </c>
      <c r="AD8" s="1">
        <f t="shared" si="10"/>
        <v>67.174154403625039</v>
      </c>
      <c r="AE8" s="1">
        <f t="shared" si="10"/>
        <v>61.198024919238009</v>
      </c>
    </row>
    <row r="9" spans="1:31" x14ac:dyDescent="0.25">
      <c r="D9" t="s">
        <v>26</v>
      </c>
      <c r="E9" s="1">
        <f>E3/E8</f>
        <v>0.52037248333647701</v>
      </c>
      <c r="F9" s="1">
        <f t="shared" ref="F9:P9" si="11">F3/F8</f>
        <v>0.54569709688342094</v>
      </c>
      <c r="G9" s="1">
        <f t="shared" si="11"/>
        <v>0.55311751350237492</v>
      </c>
      <c r="H9" s="1">
        <f t="shared" si="11"/>
        <v>0.52350379526899216</v>
      </c>
      <c r="I9" s="1">
        <f t="shared" si="11"/>
        <v>0.4716695417017075</v>
      </c>
      <c r="J9" s="1">
        <f t="shared" si="11"/>
        <v>0.47203087169233182</v>
      </c>
      <c r="K9" s="1">
        <f t="shared" si="11"/>
        <v>0.44560533421591836</v>
      </c>
      <c r="L9" s="1">
        <f t="shared" si="11"/>
        <v>0.46446491064156781</v>
      </c>
      <c r="M9" s="1">
        <f t="shared" si="11"/>
        <v>0.44097070324163795</v>
      </c>
      <c r="N9" s="1">
        <f t="shared" si="11"/>
        <v>0.3955052171088802</v>
      </c>
      <c r="O9" s="1">
        <f t="shared" si="11"/>
        <v>0.41949484419406918</v>
      </c>
      <c r="P9" s="1">
        <f t="shared" si="11"/>
        <v>0.468002175756975</v>
      </c>
      <c r="Q9" s="1"/>
      <c r="R9" s="107"/>
      <c r="S9" t="str">
        <f t="shared" si="2"/>
        <v>Beta - 21</v>
      </c>
      <c r="T9" s="1">
        <f>MIN(DEGREES(ACOS((-TAN($B2*PI()/180))*TAN(E6*PI()/180))),DEGREES(ACOS((-TAN(($B2-$B18)*PI()/180))*TAN(E6*PI()/180))))</f>
        <v>64.357071680080139</v>
      </c>
      <c r="U9" s="1">
        <f t="shared" ref="U9:AE9" si="12">MIN(DEGREES(ACOS((-TAN($B2*PI()/180))*TAN(F6*PI()/180))),DEGREES(ACOS((-TAN(($B2-$B18)*PI()/180))*TAN(F6*PI()/180))))</f>
        <v>74.902424284262636</v>
      </c>
      <c r="V9" s="1">
        <f t="shared" si="12"/>
        <v>87.259767273219694</v>
      </c>
      <c r="W9" s="1">
        <f t="shared" si="12"/>
        <v>94.962421088761076</v>
      </c>
      <c r="X9" s="1">
        <f t="shared" si="12"/>
        <v>100.2248230524968</v>
      </c>
      <c r="Y9" s="1">
        <f t="shared" si="12"/>
        <v>102.84782422612862</v>
      </c>
      <c r="Z9" s="1">
        <f t="shared" si="12"/>
        <v>101.66413330972712</v>
      </c>
      <c r="AA9" s="1">
        <f t="shared" si="12"/>
        <v>97.169774965355515</v>
      </c>
      <c r="AB9" s="1">
        <f t="shared" si="12"/>
        <v>91.157154315520913</v>
      </c>
      <c r="AC9" s="1">
        <f t="shared" si="12"/>
        <v>78.959709277416707</v>
      </c>
      <c r="AD9" s="1">
        <f t="shared" si="12"/>
        <v>67.174154403625039</v>
      </c>
      <c r="AE9" s="1">
        <f t="shared" si="12"/>
        <v>61.198024919238009</v>
      </c>
    </row>
    <row r="10" spans="1:31" x14ac:dyDescent="0.25">
      <c r="D10" t="s">
        <v>27</v>
      </c>
      <c r="E10" s="1">
        <f>IF(E7&lt;= 81.4,(1.391 - (3.56*E9) + (4.189*E9*E9) - (2.137*E9*E9*E9)),(1.311 - (3.022*E9) + (3.427*E9*E9) - (1.821*E9*E9*E9)))</f>
        <v>0.37167741520368297</v>
      </c>
      <c r="F10" s="1">
        <f t="shared" ref="F10:P10" si="13">IF(F7&lt;= 81.4,(1.391 - (3.56*F9) + (4.189*F9*F9) - (2.137*F9*F9*F9)),(1.311 - (3.022*F9) + (3.427*F9*F9) - (1.821*F9*F9*F9)))</f>
        <v>0.34847729592160848</v>
      </c>
      <c r="G10" s="1">
        <f t="shared" si="13"/>
        <v>0.37978176912533707</v>
      </c>
      <c r="H10" s="1">
        <f t="shared" si="13"/>
        <v>0.40690429847965465</v>
      </c>
      <c r="I10" s="1">
        <f t="shared" si="13"/>
        <v>0.45694311316239733</v>
      </c>
      <c r="J10" s="1">
        <f t="shared" si="13"/>
        <v>0.45658025280829262</v>
      </c>
      <c r="K10" s="1">
        <f t="shared" si="13"/>
        <v>0.48373558148393192</v>
      </c>
      <c r="L10" s="1">
        <f t="shared" si="13"/>
        <v>0.46422528587407319</v>
      </c>
      <c r="M10" s="1">
        <f t="shared" si="13"/>
        <v>0.48863538987664923</v>
      </c>
      <c r="N10" s="1">
        <f t="shared" si="13"/>
        <v>0.5060540951364545</v>
      </c>
      <c r="O10" s="1">
        <f t="shared" si="13"/>
        <v>0.47700603965372224</v>
      </c>
      <c r="P10" s="1">
        <f t="shared" si="13"/>
        <v>0.42335985934387688</v>
      </c>
      <c r="Q10" s="1"/>
      <c r="R10" s="107"/>
      <c r="S10" t="str">
        <f t="shared" si="2"/>
        <v>Beta - 24</v>
      </c>
      <c r="T10" s="1">
        <f>MIN(DEGREES(ACOS((-TAN($B2*PI()/180))*TAN(E6*PI()/180))),DEGREES(ACOS((-TAN(($B2-$B19)*PI()/180))*TAN(E6*PI()/180))))</f>
        <v>64.357071680080139</v>
      </c>
      <c r="U10" s="1">
        <f t="shared" ref="U10:AE10" si="14">MIN(DEGREES(ACOS((-TAN($B2*PI()/180))*TAN(F6*PI()/180))),DEGREES(ACOS((-TAN(($B2-$B19)*PI()/180))*TAN(F6*PI()/180))))</f>
        <v>74.902424284262636</v>
      </c>
      <c r="V10" s="1">
        <f>MIN(DEGREES(ACOS((-TAN($B2*PI()/180))*TAN(G6*PI()/180))),DEGREES(ACOS((-TAN(($B2-$B19)*PI()/180))*TAN(G6*PI()/180))))</f>
        <v>87.259767273219694</v>
      </c>
      <c r="W10" s="1">
        <f t="shared" si="14"/>
        <v>94.343829962078701</v>
      </c>
      <c r="X10" s="1">
        <f t="shared" si="14"/>
        <v>98.941671501759473</v>
      </c>
      <c r="Y10" s="1">
        <f t="shared" si="14"/>
        <v>101.22723898492886</v>
      </c>
      <c r="Z10" s="1">
        <f t="shared" si="14"/>
        <v>100.19646216140818</v>
      </c>
      <c r="AA10" s="1">
        <f t="shared" si="14"/>
        <v>96.274020717925566</v>
      </c>
      <c r="AB10" s="1">
        <f t="shared" si="14"/>
        <v>91.013189264333121</v>
      </c>
      <c r="AC10" s="1">
        <f t="shared" si="14"/>
        <v>78.959709277416707</v>
      </c>
      <c r="AD10" s="1">
        <f t="shared" si="14"/>
        <v>67.174154403625039</v>
      </c>
      <c r="AE10" s="1">
        <f t="shared" si="14"/>
        <v>61.198024919238009</v>
      </c>
    </row>
    <row r="11" spans="1:31" x14ac:dyDescent="0.25">
      <c r="D11" t="s">
        <v>28</v>
      </c>
      <c r="E11" s="1">
        <f xml:space="preserve"> E10*E3</f>
        <v>1.9267757204158926</v>
      </c>
      <c r="F11" s="1">
        <f t="shared" ref="F11:P11" si="15" xml:space="preserve"> F10*F3</f>
        <v>2.9481179234968078</v>
      </c>
      <c r="G11" s="1">
        <f t="shared" si="15"/>
        <v>4.8809552967988319</v>
      </c>
      <c r="H11" s="1">
        <f t="shared" si="15"/>
        <v>6.8115779565494199</v>
      </c>
      <c r="I11" s="1">
        <f t="shared" si="15"/>
        <v>8.340125701440078</v>
      </c>
      <c r="J11" s="1">
        <f t="shared" si="15"/>
        <v>8.9745414491997995</v>
      </c>
      <c r="K11" s="1">
        <f t="shared" si="15"/>
        <v>8.654997023910509</v>
      </c>
      <c r="L11" s="1">
        <f t="shared" si="15"/>
        <v>7.4536011899941199</v>
      </c>
      <c r="M11" s="1">
        <f t="shared" si="15"/>
        <v>5.6818523134856775</v>
      </c>
      <c r="N11" s="1">
        <f t="shared" si="15"/>
        <v>3.5524997478579103</v>
      </c>
      <c r="O11" s="1">
        <f t="shared" si="15"/>
        <v>2.2495604830069542</v>
      </c>
      <c r="P11" s="1">
        <f t="shared" si="15"/>
        <v>1.6917459979381322</v>
      </c>
      <c r="Q11" s="1"/>
      <c r="R11" s="107"/>
      <c r="S11" t="str">
        <f t="shared" si="2"/>
        <v>Beta - 27</v>
      </c>
      <c r="T11" s="1">
        <f>MIN(DEGREES(ACOS((-TAN($B2*PI()/180))*TAN(E6*PI()/180))),DEGREES(ACOS((-TAN(($B2-$B20)*PI()/180))*TAN(E6*PI()/180))))</f>
        <v>64.357071680080139</v>
      </c>
      <c r="U11" s="1">
        <f t="shared" ref="U11:AE11" si="16">MIN(DEGREES(ACOS((-TAN($B2*PI()/180))*TAN(F6*PI()/180))),DEGREES(ACOS((-TAN(($B2-$B20)*PI()/180))*TAN(F6*PI()/180))))</f>
        <v>74.902424284262636</v>
      </c>
      <c r="V11" s="1">
        <f t="shared" si="16"/>
        <v>87.259767273219694</v>
      </c>
      <c r="W11" s="1">
        <f t="shared" si="16"/>
        <v>93.754636122659491</v>
      </c>
      <c r="X11" s="1">
        <f t="shared" si="16"/>
        <v>97.722723296099659</v>
      </c>
      <c r="Y11" s="1">
        <f t="shared" si="16"/>
        <v>99.690876420736046</v>
      </c>
      <c r="Z11" s="1">
        <f t="shared" si="16"/>
        <v>98.803700103507381</v>
      </c>
      <c r="AA11" s="1">
        <f t="shared" si="16"/>
        <v>95.421584775093407</v>
      </c>
      <c r="AB11" s="1">
        <f t="shared" si="16"/>
        <v>90.875961752908395</v>
      </c>
      <c r="AC11" s="1">
        <f t="shared" si="16"/>
        <v>78.959709277416707</v>
      </c>
      <c r="AD11" s="1">
        <f t="shared" si="16"/>
        <v>67.174154403625039</v>
      </c>
      <c r="AE11" s="1">
        <f t="shared" si="16"/>
        <v>61.198024919238009</v>
      </c>
    </row>
    <row r="12" spans="1:31" x14ac:dyDescent="0.25">
      <c r="A12" s="107" t="s">
        <v>29</v>
      </c>
      <c r="B12">
        <v>3</v>
      </c>
      <c r="D12" s="6" t="str">
        <f>"RbBar at Beta = "&amp;B12</f>
        <v>RbBar at Beta = 3</v>
      </c>
      <c r="E12" s="1">
        <f>(((COS(($B2-$B12)*PI()/180)*COS(E6*PI()/180)*SIN(T3*PI()/180))+((PI()/180)*T3*SIN(($B2-$B12)*PI()/180)*SIN(E6*PI()/180)))/((COS($B2*PI()/180)*COS(E6*PI()/180)*SIN(E7*PI()/180))+((PI()/180)*E7*SIN($B2*PI()/180)*SIN(E6*PI()/180))))</f>
        <v>1.181317266381902</v>
      </c>
      <c r="F12" s="1">
        <f t="shared" ref="F12:P12" si="17">(((COS(($B2-$B12)*PI()/180)*COS(F6*PI()/180)*SIN(U3*PI()/180))+((PI()/180)*U3*SIN(($B2-$B12)*PI()/180)*SIN(F6*PI()/180)))/((COS($B2*PI()/180)*COS(F6*PI()/180)*SIN(F7*PI()/180))+((PI()/180)*F7*SIN($B2*PI()/180)*SIN(F6*PI()/180))))</f>
        <v>1.115356775113395</v>
      </c>
      <c r="G12" s="1">
        <f t="shared" si="17"/>
        <v>1.0661820646354163</v>
      </c>
      <c r="H12" s="1">
        <f t="shared" si="17"/>
        <v>1.0314829069694034</v>
      </c>
      <c r="I12" s="1">
        <f t="shared" si="17"/>
        <v>1.0108342913962252</v>
      </c>
      <c r="J12" s="1">
        <f t="shared" si="17"/>
        <v>1.002363584329959</v>
      </c>
      <c r="K12" s="1">
        <f t="shared" si="17"/>
        <v>1.0060676522647301</v>
      </c>
      <c r="L12" s="1">
        <f t="shared" si="17"/>
        <v>1.0221107999076677</v>
      </c>
      <c r="M12" s="1">
        <f t="shared" si="17"/>
        <v>1.0509200822635734</v>
      </c>
      <c r="N12" s="1">
        <f t="shared" si="17"/>
        <v>1.0966813029493372</v>
      </c>
      <c r="O12" s="1">
        <f t="shared" si="17"/>
        <v>1.1606449870063582</v>
      </c>
      <c r="P12" s="1">
        <f t="shared" si="17"/>
        <v>1.2079607195365303</v>
      </c>
      <c r="Q12" s="1"/>
      <c r="R12" s="107"/>
      <c r="S12" t="str">
        <f t="shared" si="2"/>
        <v>Beta - 30</v>
      </c>
      <c r="T12" s="1">
        <f>MIN(DEGREES(ACOS((-TAN($B2*PI()/180))*TAN(E6*PI()/180))),DEGREES(ACOS((-TAN(($B2-$B21)*PI()/180))*TAN(E6*PI()/180))))</f>
        <v>64.357071680080139</v>
      </c>
      <c r="U12" s="1">
        <f t="shared" ref="U12:AE12" si="18">MIN(DEGREES(ACOS((-TAN($B2*PI()/180))*TAN(F6*PI()/180))),DEGREES(ACOS((-TAN(($B2-$B21)*PI()/180))*TAN(F6*PI()/180))))</f>
        <v>74.902424284262636</v>
      </c>
      <c r="V12" s="1">
        <f t="shared" si="18"/>
        <v>87.259767273219694</v>
      </c>
      <c r="W12" s="1">
        <f t="shared" si="18"/>
        <v>93.18971094426449</v>
      </c>
      <c r="X12" s="1">
        <f t="shared" si="18"/>
        <v>96.556512803493092</v>
      </c>
      <c r="Y12" s="1">
        <f t="shared" si="18"/>
        <v>98.223419859128796</v>
      </c>
      <c r="Z12" s="1">
        <f t="shared" si="18"/>
        <v>97.472343067368584</v>
      </c>
      <c r="AA12" s="1">
        <f t="shared" si="18"/>
        <v>94.604851162728892</v>
      </c>
      <c r="AB12" s="1">
        <f t="shared" si="18"/>
        <v>90.744304140585854</v>
      </c>
      <c r="AC12" s="1">
        <f t="shared" si="18"/>
        <v>78.959709277416707</v>
      </c>
      <c r="AD12" s="1">
        <f t="shared" si="18"/>
        <v>67.174154403625039</v>
      </c>
      <c r="AE12" s="1">
        <f t="shared" si="18"/>
        <v>61.198024919238009</v>
      </c>
    </row>
    <row r="13" spans="1:31" x14ac:dyDescent="0.25">
      <c r="A13" s="107"/>
      <c r="B13">
        <f>B12+3</f>
        <v>6</v>
      </c>
      <c r="D13" s="6" t="str">
        <f t="shared" ref="D13:D41" si="19">"RbBar at Beta = "&amp;B13</f>
        <v>RbBar at Beta = 6</v>
      </c>
      <c r="E13" s="1">
        <f>(((COS(($B2-$B13)*PI()/180)*COS(E6*PI()/180)*SIN(T4*PI()/180))+((PI()/180)*T4*SIN(($B2-$B13)*PI()/180)*SIN(E6*PI()/180)))/((COS($B2*PI()/180)*COS(E6*PI()/180)*SIN(E7*PI()/180))+((PI()/180)*E7*SIN($B2*PI()/180)*SIN(E6*PI()/180))))</f>
        <v>1.3593966242490079</v>
      </c>
      <c r="F13" s="1">
        <f t="shared" ref="F13:P13" si="20">(((COS(($B2-$B13)*PI()/180)*COS(F6*PI()/180)*SIN(U4*PI()/180))+((PI()/180)*U4*SIN(($B2-$B13)*PI()/180)*SIN(F6*PI()/180)))/((COS($B2*PI()/180)*COS(F6*PI()/180)*SIN(F7*PI()/180))+((PI()/180)*F7*SIN($B2*PI()/180)*SIN(F6*PI()/180))))</f>
        <v>1.2276564348337033</v>
      </c>
      <c r="G13" s="1">
        <f t="shared" si="20"/>
        <v>1.1294417983410741</v>
      </c>
      <c r="H13" s="1">
        <f t="shared" si="20"/>
        <v>1.0603957792569036</v>
      </c>
      <c r="I13" s="1">
        <f t="shared" si="20"/>
        <v>1.0197874667485824</v>
      </c>
      <c r="J13" s="1">
        <f t="shared" si="20"/>
        <v>1.0032817255252031</v>
      </c>
      <c r="K13" s="1">
        <f t="shared" si="20"/>
        <v>1.0104856739044084</v>
      </c>
      <c r="L13" s="1">
        <f t="shared" si="20"/>
        <v>1.0419085360847873</v>
      </c>
      <c r="M13" s="1">
        <f t="shared" si="20"/>
        <v>1.0989766278775916</v>
      </c>
      <c r="N13" s="1">
        <f t="shared" si="20"/>
        <v>1.1903566786766733</v>
      </c>
      <c r="O13" s="1">
        <f t="shared" si="20"/>
        <v>1.3181087267787752</v>
      </c>
      <c r="P13" s="1">
        <f t="shared" si="20"/>
        <v>1.4126105027051314</v>
      </c>
      <c r="Q13" s="1"/>
      <c r="R13" s="107"/>
      <c r="S13" t="str">
        <f t="shared" si="2"/>
        <v>Beta - 33</v>
      </c>
      <c r="T13" s="1">
        <f>MIN(DEGREES(ACOS((-TAN($B2*PI()/180))*TAN(E6*PI()/180))),DEGREES(ACOS((-TAN(($B2-$B22)*PI()/180))*TAN(E6*PI()/180))))</f>
        <v>64.357071680080139</v>
      </c>
      <c r="U13" s="1">
        <f t="shared" ref="U13:AE13" si="21">MIN(DEGREES(ACOS((-TAN($B2*PI()/180))*TAN(F6*PI()/180))),DEGREES(ACOS((-TAN(($B2-$B22)*PI()/180))*TAN(F6*PI()/180))))</f>
        <v>74.902424284262636</v>
      </c>
      <c r="V13" s="1">
        <f t="shared" si="21"/>
        <v>87.259767273219694</v>
      </c>
      <c r="W13" s="1">
        <f t="shared" si="21"/>
        <v>92.64460717596765</v>
      </c>
      <c r="X13" s="1">
        <f t="shared" si="21"/>
        <v>95.433200268546628</v>
      </c>
      <c r="Y13" s="1">
        <f t="shared" si="21"/>
        <v>96.811832219572835</v>
      </c>
      <c r="Z13" s="1">
        <f t="shared" si="21"/>
        <v>96.190850982112352</v>
      </c>
      <c r="AA13" s="1">
        <f t="shared" si="21"/>
        <v>93.817238226804946</v>
      </c>
      <c r="AB13" s="1">
        <f t="shared" si="21"/>
        <v>90.617200966607797</v>
      </c>
      <c r="AC13" s="1">
        <f t="shared" si="21"/>
        <v>78.959709277416707</v>
      </c>
      <c r="AD13" s="1">
        <f t="shared" si="21"/>
        <v>67.174154403625039</v>
      </c>
      <c r="AE13" s="1">
        <f t="shared" si="21"/>
        <v>61.198024919238009</v>
      </c>
    </row>
    <row r="14" spans="1:31" x14ac:dyDescent="0.25">
      <c r="A14" s="107"/>
      <c r="B14">
        <f>B13+3</f>
        <v>9</v>
      </c>
      <c r="D14" s="6" t="str">
        <f t="shared" si="19"/>
        <v>RbBar at Beta = 9</v>
      </c>
      <c r="E14" s="1">
        <f>(((COS(($B2-$B14)*PI()/180)*COS(E6*PI()/180)*SIN(T5*PI()/180))+((PI()/180)*T5*SIN(($B2-$B14)*PI()/180)*SIN(E6*PI()/180)))/((COS($B2*PI()/180)*COS(E6*PI()/180)*SIN(E7*PI()/180))+((PI()/180)*E7*SIN($B2*PI()/180)*SIN(E6*PI()/180))))</f>
        <v>1.5337499704595485</v>
      </c>
      <c r="F14" s="1">
        <f t="shared" ref="F14:P14" si="22">(((COS(($B2-$B14)*PI()/180)*COS(F6*PI()/180)*SIN(U5*PI()/180))+((PI()/180)*U5*SIN(($B2-$B14)*PI()/180)*SIN(F6*PI()/180)))/((COS($B2*PI()/180)*COS(F6*PI()/180)*SIN(F7*PI()/180))+((PI()/180)*F7*SIN($B2*PI()/180)*SIN(F6*PI()/180))))</f>
        <v>1.3365911735994851</v>
      </c>
      <c r="G14" s="1">
        <f t="shared" si="22"/>
        <v>1.1896058105840153</v>
      </c>
      <c r="H14" s="1">
        <f t="shared" si="22"/>
        <v>1.0866223581650816</v>
      </c>
      <c r="I14" s="1">
        <f t="shared" si="22"/>
        <v>1.0266992894651779</v>
      </c>
      <c r="J14" s="1">
        <f t="shared" si="22"/>
        <v>1.0025434641664892</v>
      </c>
      <c r="K14" s="1">
        <f t="shared" si="22"/>
        <v>1.0130687189872802</v>
      </c>
      <c r="L14" s="1">
        <f t="shared" si="22"/>
        <v>1.0592673083416222</v>
      </c>
      <c r="M14" s="1">
        <f t="shared" si="22"/>
        <v>1.1440355149313284</v>
      </c>
      <c r="N14" s="1">
        <f t="shared" si="22"/>
        <v>1.2807693694884352</v>
      </c>
      <c r="O14" s="1">
        <f t="shared" si="22"/>
        <v>1.4719596221517066</v>
      </c>
      <c r="P14" s="1">
        <f t="shared" si="22"/>
        <v>1.6133884186751699</v>
      </c>
      <c r="Q14" s="1"/>
      <c r="R14" s="107"/>
      <c r="S14" t="str">
        <f t="shared" si="2"/>
        <v>Beta - 36</v>
      </c>
      <c r="T14" s="1">
        <f>MIN(DEGREES(ACOS((-TAN($B2*PI()/180))*TAN(E6*PI()/180))),DEGREES(ACOS((-TAN(($B2-$B23)*PI()/180))*TAN(E6*PI()/180))))</f>
        <v>64.357071680080139</v>
      </c>
      <c r="U14" s="1">
        <f t="shared" ref="U14:AE14" si="23">MIN(DEGREES(ACOS((-TAN($B2*PI()/180))*TAN(F6*PI()/180))),DEGREES(ACOS((-TAN(($B2-$B23)*PI()/180))*TAN(F6*PI()/180))))</f>
        <v>74.902424284262636</v>
      </c>
      <c r="V14" s="1">
        <f t="shared" si="23"/>
        <v>87.259767273219694</v>
      </c>
      <c r="W14" s="1">
        <f t="shared" si="23"/>
        <v>92.1154033045527</v>
      </c>
      <c r="X14" s="1">
        <f t="shared" si="23"/>
        <v>94.344185700092368</v>
      </c>
      <c r="Y14" s="1">
        <f t="shared" si="23"/>
        <v>95.444798049660193</v>
      </c>
      <c r="Z14" s="1">
        <f t="shared" si="23"/>
        <v>94.949173994969286</v>
      </c>
      <c r="AA14" s="1">
        <f t="shared" si="23"/>
        <v>93.05295931897642</v>
      </c>
      <c r="AB14" s="1">
        <f t="shared" si="23"/>
        <v>90.493754569854119</v>
      </c>
      <c r="AC14" s="1">
        <f t="shared" si="23"/>
        <v>78.959709277416707</v>
      </c>
      <c r="AD14" s="1">
        <f t="shared" si="23"/>
        <v>67.174154403625039</v>
      </c>
      <c r="AE14" s="1">
        <f t="shared" si="23"/>
        <v>61.198024919238009</v>
      </c>
    </row>
    <row r="15" spans="1:31" x14ac:dyDescent="0.25">
      <c r="A15" s="107"/>
      <c r="B15">
        <f t="shared" ref="B15:B41" si="24">B14+3</f>
        <v>12</v>
      </c>
      <c r="D15" s="6" t="str">
        <f t="shared" si="19"/>
        <v>RbBar at Beta = 12</v>
      </c>
      <c r="E15" s="1">
        <f>(((COS(($B2-$B15)*PI()/180)*COS(E6*PI()/180)*SIN(T6*PI()/180))+((PI()/180)*T6*SIN(($B2-$B15)*PI()/180)*SIN(E6*PI()/180)))/((COS($B2*PI()/180)*COS(E6*PI()/180)*SIN(E7*PI()/180))+((PI()/180)*E7*SIN($B2*PI()/180)*SIN(E6*PI()/180))))</f>
        <v>1.7038994146107123</v>
      </c>
      <c r="F15" s="1">
        <f t="shared" ref="F15:P15" si="25">(((COS(($B2-$B15)*PI()/180)*COS(F6*PI()/180)*SIN(U6*PI()/180))+((PI()/180)*U6*SIN(($B2-$B15)*PI()/180)*SIN(F6*PI()/180)))/((COS($B2*PI()/180)*COS(F6*PI()/180)*SIN(F7*PI()/180))+((PI()/180)*F7*SIN($B2*PI()/180)*SIN(F6*PI()/180))))</f>
        <v>1.4418624088637439</v>
      </c>
      <c r="G15" s="1">
        <f t="shared" si="25"/>
        <v>1.2465091959886323</v>
      </c>
      <c r="H15" s="1">
        <f t="shared" si="25"/>
        <v>1.110062076995411</v>
      </c>
      <c r="I15" s="1">
        <f t="shared" si="25"/>
        <v>1.0314473615231445</v>
      </c>
      <c r="J15" s="1">
        <f t="shared" si="25"/>
        <v>0.99999430656085753</v>
      </c>
      <c r="K15" s="1">
        <f t="shared" si="25"/>
        <v>1.01367863060682</v>
      </c>
      <c r="L15" s="1">
        <f t="shared" si="25"/>
        <v>1.0740843031798237</v>
      </c>
      <c r="M15" s="1">
        <f t="shared" si="25"/>
        <v>1.1859713708680817</v>
      </c>
      <c r="N15" s="1">
        <f t="shared" si="25"/>
        <v>1.3676715604836165</v>
      </c>
      <c r="O15" s="1">
        <f t="shared" si="25"/>
        <v>1.6217759785149795</v>
      </c>
      <c r="P15" s="1">
        <f t="shared" si="25"/>
        <v>1.809744149134874</v>
      </c>
      <c r="Q15" s="1"/>
      <c r="R15" s="107"/>
      <c r="S15" t="str">
        <f t="shared" si="2"/>
        <v>Beta - 39</v>
      </c>
      <c r="T15" s="1">
        <f>MIN(DEGREES(ACOS((-TAN($B2*PI()/180))*TAN(E6*PI()/180))),DEGREES(ACOS((-TAN(($B2-$B24)*PI()/180))*TAN(E6*PI()/180))))</f>
        <v>64.357071680080139</v>
      </c>
      <c r="U15" s="1">
        <f t="shared" ref="U15:AE15" si="26">MIN(DEGREES(ACOS((-TAN($B2*PI()/180))*TAN(F6*PI()/180))),DEGREES(ACOS((-TAN(($B2-$B24)*PI()/180))*TAN(F6*PI()/180))))</f>
        <v>74.902424284262636</v>
      </c>
      <c r="V15" s="1">
        <f t="shared" si="26"/>
        <v>87.259767273219694</v>
      </c>
      <c r="W15" s="1">
        <f t="shared" si="26"/>
        <v>91.598579600513162</v>
      </c>
      <c r="X15" s="1">
        <f t="shared" si="26"/>
        <v>93.281807534928546</v>
      </c>
      <c r="Y15" s="1">
        <f t="shared" si="26"/>
        <v>94.112295048683023</v>
      </c>
      <c r="Z15" s="1">
        <f t="shared" si="26"/>
        <v>93.738385787411502</v>
      </c>
      <c r="AA15" s="1">
        <f t="shared" si="26"/>
        <v>92.306833461038224</v>
      </c>
      <c r="AB15" s="1">
        <f t="shared" si="26"/>
        <v>90.373157553097897</v>
      </c>
      <c r="AC15" s="1">
        <f t="shared" si="26"/>
        <v>78.959709277416707</v>
      </c>
      <c r="AD15" s="1">
        <f t="shared" si="26"/>
        <v>67.174154403625039</v>
      </c>
      <c r="AE15" s="1">
        <f t="shared" si="26"/>
        <v>61.198024919238009</v>
      </c>
    </row>
    <row r="16" spans="1:31" x14ac:dyDescent="0.25">
      <c r="A16" s="107"/>
      <c r="B16">
        <f t="shared" si="24"/>
        <v>15</v>
      </c>
      <c r="D16" s="6" t="str">
        <f t="shared" si="19"/>
        <v>RbBar at Beta = 15</v>
      </c>
      <c r="E16" s="1">
        <f>(((COS(($B2-$B16)*PI()/180)*COS(E6*PI()/180)*SIN(T7*PI()/180))+((PI()/180)*T7*SIN(($B2-$B16)*PI()/180)*SIN(E6*PI()/180)))/((COS($B2*PI()/180)*COS(E6*PI()/180)*SIN(E7*PI()/180))+((PI()/180)*E7*SIN($B2*PI()/180)*SIN(E6*PI()/180))))</f>
        <v>1.8693785889030243</v>
      </c>
      <c r="F16" s="1">
        <f t="shared" ref="F16:P16" si="27">(((COS(($B2-$B16)*PI()/180)*COS(F6*PI()/180)*SIN(U7*PI()/180))+((PI()/180)*U7*SIN(($B2-$B16)*PI()/180)*SIN(F6*PI()/180)))/((COS($B2*PI()/180)*COS(F6*PI()/180)*SIN(F7*PI()/180))+((PI()/180)*F7*SIN($B2*PI()/180)*SIN(F6*PI()/180))))</f>
        <v>1.5431815994879341</v>
      </c>
      <c r="G16" s="1">
        <f t="shared" si="27"/>
        <v>1.2999959863308361</v>
      </c>
      <c r="H16" s="1">
        <f t="shared" si="27"/>
        <v>1.1306281497282444</v>
      </c>
      <c r="I16" s="1">
        <f t="shared" si="27"/>
        <v>1.033938416346998</v>
      </c>
      <c r="J16" s="1">
        <f t="shared" si="27"/>
        <v>0.9955212226363348</v>
      </c>
      <c r="K16" s="1">
        <f t="shared" si="27"/>
        <v>1.0122126463362786</v>
      </c>
      <c r="L16" s="1">
        <f t="shared" si="27"/>
        <v>1.0862756785249608</v>
      </c>
      <c r="M16" s="1">
        <f t="shared" si="27"/>
        <v>1.2246677785426416</v>
      </c>
      <c r="N16" s="1">
        <f t="shared" si="27"/>
        <v>1.4508250587971965</v>
      </c>
      <c r="O16" s="1">
        <f t="shared" si="27"/>
        <v>1.7671471596494075</v>
      </c>
      <c r="P16" s="1">
        <f t="shared" si="27"/>
        <v>2.0011394966755716</v>
      </c>
      <c r="Q16" s="1"/>
      <c r="R16" s="107"/>
      <c r="S16" t="str">
        <f t="shared" si="2"/>
        <v>Beta - 42</v>
      </c>
      <c r="T16" s="1">
        <f>MIN(DEGREES(ACOS((-TAN($B2*PI()/180))*TAN(E6*PI()/180))),DEGREES(ACOS((-TAN(($B2-$B25)*PI()/180))*TAN(E6*PI()/180))))</f>
        <v>64.357071680080139</v>
      </c>
      <c r="U16" s="1">
        <f t="shared" ref="U16:AE16" si="28">MIN(DEGREES(ACOS((-TAN($B2*PI()/180))*TAN(F6*PI()/180))),DEGREES(ACOS((-TAN(($B2-$B25)*PI()/180))*TAN(F6*PI()/180))))</f>
        <v>74.902424284262636</v>
      </c>
      <c r="V16" s="1">
        <f t="shared" si="28"/>
        <v>87.259767273219694</v>
      </c>
      <c r="W16" s="1">
        <f t="shared" si="28"/>
        <v>91.090916913222756</v>
      </c>
      <c r="X16" s="1">
        <f t="shared" si="28"/>
        <v>92.239100942363137</v>
      </c>
      <c r="Y16" s="1">
        <f t="shared" si="28"/>
        <v>92.80525519292928</v>
      </c>
      <c r="Z16" s="1">
        <f t="shared" si="28"/>
        <v>92.550391594984973</v>
      </c>
      <c r="AA16" s="1">
        <f t="shared" si="28"/>
        <v>91.574131658215634</v>
      </c>
      <c r="AB16" s="1">
        <f t="shared" si="28"/>
        <v>90.254670188972497</v>
      </c>
      <c r="AC16" s="1">
        <f t="shared" si="28"/>
        <v>78.959709277416707</v>
      </c>
      <c r="AD16" s="1">
        <f t="shared" si="28"/>
        <v>67.174154403625039</v>
      </c>
      <c r="AE16" s="1">
        <f t="shared" si="28"/>
        <v>61.198024919238009</v>
      </c>
    </row>
    <row r="17" spans="1:31" x14ac:dyDescent="0.25">
      <c r="A17" s="107"/>
      <c r="B17">
        <f t="shared" si="24"/>
        <v>18</v>
      </c>
      <c r="D17" s="6" t="str">
        <f t="shared" si="19"/>
        <v>RbBar at Beta = 18</v>
      </c>
      <c r="E17" s="1">
        <f>(((COS(($B2-$B17)*PI()/180)*COS(E6*PI()/180)*SIN(T8*PI()/180))+((PI()/180)*T8*SIN(($B2-$B17)*PI()/180)*SIN(E6*PI()/180)))/((COS($B2*PI()/180)*COS(E6*PI()/180)*SIN(E7*PI()/180))+((PI()/180)*E7*SIN($B2*PI()/180)*SIN(E6*PI()/180))))</f>
        <v>2.029733926422066</v>
      </c>
      <c r="F17" s="1">
        <f t="shared" ref="F17:P17" si="29">(((COS(($B2-$B17)*PI()/180)*COS(F6*PI()/180)*SIN(U8*PI()/180))+((PI()/180)*U8*SIN(($B2-$B17)*PI()/180)*SIN(F6*PI()/180)))/((COS($B2*PI()/180)*COS(F6*PI()/180)*SIN(F7*PI()/180))+((PI()/180)*F7*SIN($B2*PI()/180)*SIN(F6*PI()/180))))</f>
        <v>1.6402710366131659</v>
      </c>
      <c r="G17" s="1">
        <f t="shared" si="29"/>
        <v>1.3499195780361199</v>
      </c>
      <c r="H17" s="1">
        <f t="shared" si="29"/>
        <v>1.1482462927408066</v>
      </c>
      <c r="I17" s="1">
        <f t="shared" si="29"/>
        <v>1.034102504963587</v>
      </c>
      <c r="J17" s="1">
        <f t="shared" si="29"/>
        <v>0.98904292439695951</v>
      </c>
      <c r="K17" s="1">
        <f t="shared" si="29"/>
        <v>1.0085956358262087</v>
      </c>
      <c r="L17" s="1">
        <f t="shared" si="29"/>
        <v>1.095773774742526</v>
      </c>
      <c r="M17" s="1">
        <f t="shared" si="29"/>
        <v>1.2600174991994304</v>
      </c>
      <c r="N17" s="1">
        <f t="shared" si="29"/>
        <v>1.5300019464702268</v>
      </c>
      <c r="O17" s="1">
        <f t="shared" si="29"/>
        <v>1.9076747132521306</v>
      </c>
      <c r="P17" s="1">
        <f t="shared" si="29"/>
        <v>2.1870498599533841</v>
      </c>
      <c r="Q17" s="1"/>
      <c r="R17" s="107"/>
      <c r="S17" t="str">
        <f t="shared" si="2"/>
        <v>Beta - 45</v>
      </c>
      <c r="T17" s="1">
        <f>MIN(DEGREES(ACOS((-TAN($B2*PI()/180))*TAN(E6*PI()/180))),DEGREES(ACOS((-TAN(($B2-$B26)*PI()/180))*TAN(E6*PI()/180))))</f>
        <v>64.357071680080139</v>
      </c>
      <c r="U17" s="1">
        <f t="shared" ref="U17:AE17" si="30">MIN(DEGREES(ACOS((-TAN($B2*PI()/180))*TAN(F6*PI()/180))),DEGREES(ACOS((-TAN(($B2-$B26)*PI()/180))*TAN(F6*PI()/180))))</f>
        <v>74.902424284262636</v>
      </c>
      <c r="V17" s="1">
        <f t="shared" si="30"/>
        <v>87.259767273219694</v>
      </c>
      <c r="W17" s="1">
        <f t="shared" si="30"/>
        <v>90.589411613986925</v>
      </c>
      <c r="X17" s="1">
        <f t="shared" si="30"/>
        <v>91.209597773960752</v>
      </c>
      <c r="Y17" s="1">
        <f t="shared" si="30"/>
        <v>91.515287604246936</v>
      </c>
      <c r="Z17" s="1">
        <f t="shared" si="30"/>
        <v>91.377688035690966</v>
      </c>
      <c r="AA17" s="1">
        <f t="shared" si="30"/>
        <v>90.850448382168011</v>
      </c>
      <c r="AB17" s="1">
        <f t="shared" si="30"/>
        <v>90.137601349422312</v>
      </c>
      <c r="AC17" s="1">
        <f t="shared" si="30"/>
        <v>78.959709277416707</v>
      </c>
      <c r="AD17" s="1">
        <f t="shared" si="30"/>
        <v>67.174154403625039</v>
      </c>
      <c r="AE17" s="1">
        <f t="shared" si="30"/>
        <v>61.198024919238009</v>
      </c>
    </row>
    <row r="18" spans="1:31" x14ac:dyDescent="0.25">
      <c r="A18" s="107"/>
      <c r="B18">
        <f t="shared" si="24"/>
        <v>21</v>
      </c>
      <c r="D18" s="6" t="str">
        <f t="shared" si="19"/>
        <v>RbBar at Beta = 21</v>
      </c>
      <c r="E18" s="1">
        <f>(((COS(($B2-$B18)*PI()/180)*COS(E6*PI()/180)*SIN(T9*PI()/180))+((PI()/180)*T9*SIN(($B2-$B18)*PI()/180)*SIN(E6*PI()/180)))/((COS($B2*PI()/180)*COS(E6*PI()/180)*SIN(E7*PI()/180))+((PI()/180)*E7*SIN($B2*PI()/180)*SIN(E6*PI()/180))))</f>
        <v>2.1845259043338596</v>
      </c>
      <c r="F18" s="1">
        <f t="shared" ref="F18:P18" si="31">(((COS(($B2-$B18)*PI()/180)*COS(F6*PI()/180)*SIN(U9*PI()/180))+((PI()/180)*U9*SIN(($B2-$B18)*PI()/180)*SIN(F6*PI()/180)))/((COS($B2*PI()/180)*COS(F6*PI()/180)*SIN(F7*PI()/180))+((PI()/180)*F7*SIN($B2*PI()/180)*SIN(F6*PI()/180))))</f>
        <v>1.7328646048408833</v>
      </c>
      <c r="G18" s="1">
        <f t="shared" si="31"/>
        <v>1.3961431340097663</v>
      </c>
      <c r="H18" s="1">
        <f t="shared" si="31"/>
        <v>1.1628538548182938</v>
      </c>
      <c r="I18" s="1">
        <f t="shared" si="31"/>
        <v>1.0318889995291542</v>
      </c>
      <c r="J18" s="1">
        <f t="shared" si="31"/>
        <v>0.98050333268011114</v>
      </c>
      <c r="K18" s="1">
        <f t="shared" si="31"/>
        <v>1.0027748227390265</v>
      </c>
      <c r="L18" s="1">
        <f t="shared" si="31"/>
        <v>1.1025251793339905</v>
      </c>
      <c r="M18" s="1">
        <f t="shared" si="31"/>
        <v>1.2919226979171883</v>
      </c>
      <c r="N18" s="1">
        <f t="shared" si="31"/>
        <v>1.6049852051571141</v>
      </c>
      <c r="O18" s="1">
        <f t="shared" si="31"/>
        <v>2.0429734630666725</v>
      </c>
      <c r="P18" s="1">
        <f t="shared" si="31"/>
        <v>2.3669656715850347</v>
      </c>
      <c r="Q18" s="1"/>
      <c r="R18" s="107"/>
      <c r="S18" t="str">
        <f t="shared" si="2"/>
        <v>Beta - 48</v>
      </c>
      <c r="T18" s="1">
        <f>MIN(DEGREES(ACOS((-TAN($B2*PI()/180))*TAN(E6*PI()/180))),DEGREES(ACOS((-TAN(($B2-$B27)*PI()/180))*TAN(E6*PI()/180))))</f>
        <v>64.357071680080139</v>
      </c>
      <c r="U18" s="1">
        <f t="shared" ref="U18:AE18" si="32">MIN(DEGREES(ACOS((-TAN($B2*PI()/180))*TAN(F6*PI()/180))),DEGREES(ACOS((-TAN(($B2-$B27)*PI()/180))*TAN(F6*PI()/180))))</f>
        <v>74.902424284262636</v>
      </c>
      <c r="V18" s="1">
        <f t="shared" si="32"/>
        <v>87.259767273219694</v>
      </c>
      <c r="W18" s="1">
        <f t="shared" si="32"/>
        <v>90.09120163977903</v>
      </c>
      <c r="X18" s="1">
        <f t="shared" si="32"/>
        <v>90.187154780462336</v>
      </c>
      <c r="Y18" s="1">
        <f t="shared" si="32"/>
        <v>90.234442902276768</v>
      </c>
      <c r="Z18" s="1">
        <f t="shared" si="32"/>
        <v>90.213157919542525</v>
      </c>
      <c r="AA18" s="1">
        <f t="shared" si="32"/>
        <v>90.131590285197234</v>
      </c>
      <c r="AB18" s="1">
        <f t="shared" si="32"/>
        <v>90.021291865780697</v>
      </c>
      <c r="AC18" s="1">
        <f t="shared" si="32"/>
        <v>78.959709277416707</v>
      </c>
      <c r="AD18" s="1">
        <f t="shared" si="32"/>
        <v>67.174154403625039</v>
      </c>
      <c r="AE18" s="1">
        <f t="shared" si="32"/>
        <v>61.198024919238009</v>
      </c>
    </row>
    <row r="19" spans="1:31" x14ac:dyDescent="0.25">
      <c r="A19" s="107"/>
      <c r="B19">
        <f t="shared" si="24"/>
        <v>24</v>
      </c>
      <c r="D19" s="6" t="str">
        <f t="shared" si="19"/>
        <v>RbBar at Beta = 24</v>
      </c>
      <c r="E19" s="1">
        <f>(((COS(($B2-$B19)*PI()/180)*COS(E6*PI()/180)*SIN(T10*PI()/180))+((PI()/180)*T10*SIN(($B2-$B19)*PI()/180)*SIN(E6*PI()/180)))/((COS($B2*PI()/180)*COS(E6*PI()/180)*SIN(E7*PI()/180))+((PI()/180)*E7*SIN($B2*PI()/180)*SIN(E6*PI()/180))))</f>
        <v>2.3333302485864085</v>
      </c>
      <c r="F19" s="1">
        <f t="shared" ref="F19:P19" si="33">(((COS(($B2-$B19)*PI()/180)*COS(F6*PI()/180)*SIN(U10*PI()/180))+((PI()/180)*U10*SIN(($B2-$B19)*PI()/180)*SIN(F6*PI()/180)))/((COS($B2*PI()/180)*COS(F6*PI()/180)*SIN(F7*PI()/180))+((PI()/180)*F7*SIN($B2*PI()/180)*SIN(F6*PI()/180))))</f>
        <v>1.8207085116366728</v>
      </c>
      <c r="G19" s="1">
        <f t="shared" si="33"/>
        <v>1.4385399586978114</v>
      </c>
      <c r="H19" s="1">
        <f t="shared" si="33"/>
        <v>1.1743992148176818</v>
      </c>
      <c r="I19" s="1">
        <f t="shared" si="33"/>
        <v>1.0272637750150995</v>
      </c>
      <c r="J19" s="1">
        <f t="shared" si="33"/>
        <v>0.96986705073545887</v>
      </c>
      <c r="K19" s="1">
        <f t="shared" si="33"/>
        <v>0.99471609426114349</v>
      </c>
      <c r="L19" s="1">
        <f t="shared" si="33"/>
        <v>1.1064893541975083</v>
      </c>
      <c r="M19" s="1">
        <f t="shared" si="33"/>
        <v>1.3202951621268864</v>
      </c>
      <c r="N19" s="1">
        <f t="shared" si="33"/>
        <v>1.6755693109578189</v>
      </c>
      <c r="O19" s="1">
        <f t="shared" si="33"/>
        <v>2.172672564624293</v>
      </c>
      <c r="P19" s="1">
        <f t="shared" si="33"/>
        <v>2.5403937948366377</v>
      </c>
      <c r="Q19" s="1"/>
      <c r="R19" s="107"/>
      <c r="S19" t="str">
        <f t="shared" si="2"/>
        <v>Beta - 51</v>
      </c>
      <c r="T19" s="1">
        <f>MIN(DEGREES(ACOS((-TAN($B2*PI()/180))*TAN(E6*PI()/180))),DEGREES(ACOS((-TAN(($B2-$B28)*PI()/180))*TAN(E6*PI()/180))))</f>
        <v>64.357071680080139</v>
      </c>
      <c r="U19" s="1">
        <f t="shared" ref="U19:AE19" si="34">MIN(DEGREES(ACOS((-TAN($B2*PI()/180))*TAN(F6*PI()/180))),DEGREES(ACOS((-TAN(($B2-$B28)*PI()/180))*TAN(F6*PI()/180))))</f>
        <v>74.902424284262636</v>
      </c>
      <c r="V19" s="1">
        <f t="shared" si="34"/>
        <v>87.259767273219694</v>
      </c>
      <c r="W19" s="1">
        <f t="shared" si="34"/>
        <v>89.593499604515515</v>
      </c>
      <c r="X19" s="1">
        <f t="shared" si="34"/>
        <v>89.165799661604524</v>
      </c>
      <c r="Y19" s="1">
        <f t="shared" si="34"/>
        <v>88.955003536201545</v>
      </c>
      <c r="Z19" s="1">
        <f t="shared" si="34"/>
        <v>89.049887043320254</v>
      </c>
      <c r="AA19" s="1">
        <f t="shared" si="34"/>
        <v>89.413475852416013</v>
      </c>
      <c r="AB19" s="1">
        <f t="shared" si="34"/>
        <v>89.905099440271599</v>
      </c>
      <c r="AC19" s="1">
        <f t="shared" si="34"/>
        <v>78.959709277416707</v>
      </c>
      <c r="AD19" s="1">
        <f t="shared" si="34"/>
        <v>67.174154403625039</v>
      </c>
      <c r="AE19" s="1">
        <f t="shared" si="34"/>
        <v>61.198024919238009</v>
      </c>
    </row>
    <row r="20" spans="1:31" x14ac:dyDescent="0.25">
      <c r="A20" s="107"/>
      <c r="B20">
        <f t="shared" si="24"/>
        <v>27</v>
      </c>
      <c r="D20" s="6" t="str">
        <f t="shared" si="19"/>
        <v>RbBar at Beta = 27</v>
      </c>
      <c r="E20" s="1">
        <f>(((COS(($B2-$B20)*PI()/180)*COS(E6*PI()/180)*SIN(T11*PI()/180))+((PI()/180)*T11*SIN(($B2-$B20)*PI()/180)*SIN(E6*PI()/180)))/((COS($B2*PI()/180)*COS(E6*PI()/180)*SIN(E7*PI()/180))+((PI()/180)*E7*SIN($B2*PI()/180)*SIN(E6*PI()/180))))</f>
        <v>2.4757390968153792</v>
      </c>
      <c r="F20" s="1">
        <f t="shared" ref="F20:P20" si="35">(((COS(($B2-$B20)*PI()/180)*COS(F6*PI()/180)*SIN(U11*PI()/180))+((PI()/180)*U11*SIN(($B2-$B20)*PI()/180)*SIN(F6*PI()/180)))/((COS($B2*PI()/180)*COS(F6*PI()/180)*SIN(F7*PI()/180))+((PI()/180)*F7*SIN($B2*PI()/180)*SIN(F6*PI()/180))))</f>
        <v>1.9035619829579637</v>
      </c>
      <c r="G20" s="1">
        <f t="shared" si="35"/>
        <v>1.4769938453507523</v>
      </c>
      <c r="H20" s="1">
        <f t="shared" si="35"/>
        <v>1.1828413565900922</v>
      </c>
      <c r="I20" s="1">
        <f t="shared" si="35"/>
        <v>1.0202071751602453</v>
      </c>
      <c r="J20" s="1">
        <f t="shared" si="35"/>
        <v>0.95711614471756412</v>
      </c>
      <c r="K20" s="1">
        <f t="shared" si="35"/>
        <v>0.98440135634433523</v>
      </c>
      <c r="L20" s="1">
        <f t="shared" si="35"/>
        <v>1.1076376407947646</v>
      </c>
      <c r="M20" s="1">
        <f t="shared" si="35"/>
        <v>1.3450565069017306</v>
      </c>
      <c r="N20" s="1">
        <f t="shared" si="35"/>
        <v>1.7415607977445831</v>
      </c>
      <c r="O20" s="1">
        <f t="shared" si="35"/>
        <v>2.2964165217028971</v>
      </c>
      <c r="P20" s="1">
        <f t="shared" si="35"/>
        <v>2.7068588752772014</v>
      </c>
      <c r="Q20" s="1"/>
      <c r="R20" s="107"/>
      <c r="S20" t="str">
        <f t="shared" si="2"/>
        <v>Beta - 54</v>
      </c>
      <c r="T20" s="1">
        <f>MIN(DEGREES(ACOS((-TAN($B2*PI()/180))*TAN(E6*PI()/180))),DEGREES(ACOS((-TAN(($B2-$B29)*PI()/180))*TAN(E6*PI()/180))))</f>
        <v>64.357071680080139</v>
      </c>
      <c r="U20" s="1">
        <f t="shared" ref="U20:AE20" si="36">MIN(DEGREES(ACOS((-TAN($B2*PI()/180))*TAN(F6*PI()/180))),DEGREES(ACOS((-TAN(($B2-$B29)*PI()/180))*TAN(F6*PI()/180))))</f>
        <v>74.902424284262636</v>
      </c>
      <c r="V20" s="1">
        <f t="shared" si="36"/>
        <v>87.259767273219694</v>
      </c>
      <c r="W20" s="1">
        <f t="shared" si="36"/>
        <v>89.093529565412879</v>
      </c>
      <c r="X20" s="1">
        <f t="shared" si="36"/>
        <v>88.139586285932879</v>
      </c>
      <c r="Y20" s="1">
        <f t="shared" si="36"/>
        <v>87.66928741474824</v>
      </c>
      <c r="Z20" s="1">
        <f t="shared" si="36"/>
        <v>87.880992263891969</v>
      </c>
      <c r="AA20" s="1">
        <f t="shared" si="36"/>
        <v>88.692040700100193</v>
      </c>
      <c r="AB20" s="1">
        <f t="shared" si="36"/>
        <v>89.788384361116755</v>
      </c>
      <c r="AC20" s="1">
        <f t="shared" si="36"/>
        <v>78.959709277416707</v>
      </c>
      <c r="AD20" s="1">
        <f t="shared" si="36"/>
        <v>67.174154403625039</v>
      </c>
      <c r="AE20" s="1">
        <f t="shared" si="36"/>
        <v>61.198024919238009</v>
      </c>
    </row>
    <row r="21" spans="1:31" x14ac:dyDescent="0.25">
      <c r="A21" s="107"/>
      <c r="B21">
        <f t="shared" si="24"/>
        <v>30</v>
      </c>
      <c r="D21" s="6" t="str">
        <f t="shared" si="19"/>
        <v>RbBar at Beta = 30</v>
      </c>
      <c r="E21" s="1">
        <f>(((COS(($B2-$B21)*PI()/180)*COS(E6*PI()/180)*SIN(T12*PI()/180))+((PI()/180)*T12*SIN(($B2-$B21)*PI()/180)*SIN(E6*PI()/180)))/((COS($B2*PI()/180)*COS(E6*PI()/180)*SIN(E7*PI()/180))+((PI()/180)*E7*SIN($B2*PI()/180)*SIN(E6*PI()/180))))</f>
        <v>2.6113621162664935</v>
      </c>
      <c r="F21" s="1">
        <f t="shared" ref="F21:P21" si="37">(((COS(($B2-$B21)*PI()/180)*COS(F6*PI()/180)*SIN(U12*PI()/180))+((PI()/180)*U12*SIN(($B2-$B21)*PI()/180)*SIN(F6*PI()/180)))/((COS($B2*PI()/180)*COS(F6*PI()/180)*SIN(F7*PI()/180))+((PI()/180)*F7*SIN($B2*PI()/180)*SIN(F6*PI()/180))))</f>
        <v>1.9811979231989381</v>
      </c>
      <c r="G21" s="1">
        <f t="shared" si="37"/>
        <v>1.5113993945381703</v>
      </c>
      <c r="H21" s="1">
        <f t="shared" si="37"/>
        <v>1.1881495617005415</v>
      </c>
      <c r="I21" s="1">
        <f t="shared" si="37"/>
        <v>1.01071251243843</v>
      </c>
      <c r="J21" s="1">
        <f t="shared" si="37"/>
        <v>0.94224780008244324</v>
      </c>
      <c r="K21" s="1">
        <f t="shared" si="37"/>
        <v>0.97182659576843211</v>
      </c>
      <c r="L21" s="1">
        <f t="shared" si="37"/>
        <v>1.1059525231083351</v>
      </c>
      <c r="M21" s="1">
        <f t="shared" si="37"/>
        <v>1.366138362670259</v>
      </c>
      <c r="N21" s="1">
        <f t="shared" si="37"/>
        <v>1.8027787874391366</v>
      </c>
      <c r="O21" s="1">
        <f t="shared" si="37"/>
        <v>2.4138661607174687</v>
      </c>
      <c r="P21" s="1">
        <f t="shared" si="37"/>
        <v>2.8659046436920845</v>
      </c>
      <c r="Q21" s="1"/>
      <c r="R21" s="107"/>
      <c r="S21" t="str">
        <f t="shared" si="2"/>
        <v>Beta - 57</v>
      </c>
      <c r="T21" s="1">
        <f>MIN(DEGREES(ACOS((-TAN($B2*PI()/180))*TAN(E6*PI()/180))),DEGREES(ACOS((-TAN(($B2-$B30)*PI()/180))*TAN(E6*PI()/180))))</f>
        <v>64.357071680080139</v>
      </c>
      <c r="U21" s="1">
        <f t="shared" ref="U21:AE21" si="38">MIN(DEGREES(ACOS((-TAN($B2*PI()/180))*TAN(F6*PI()/180))),DEGREES(ACOS((-TAN(($B2-$B30)*PI()/180))*TAN(F6*PI()/180))))</f>
        <v>74.902424284262636</v>
      </c>
      <c r="V21" s="1">
        <f t="shared" si="38"/>
        <v>87.259767273219694</v>
      </c>
      <c r="W21" s="1">
        <f t="shared" si="38"/>
        <v>88.588464344926251</v>
      </c>
      <c r="X21" s="1">
        <f t="shared" si="38"/>
        <v>87.102451301255684</v>
      </c>
      <c r="Y21" s="1">
        <f t="shared" si="38"/>
        <v>86.369453549164007</v>
      </c>
      <c r="Z21" s="1">
        <f t="shared" si="38"/>
        <v>86.699451280310271</v>
      </c>
      <c r="AA21" s="1">
        <f t="shared" si="38"/>
        <v>87.963143731626573</v>
      </c>
      <c r="AB21" s="1">
        <f t="shared" si="38"/>
        <v>89.670495339871024</v>
      </c>
      <c r="AC21" s="1">
        <f t="shared" si="38"/>
        <v>78.959709277416707</v>
      </c>
      <c r="AD21" s="1">
        <f t="shared" si="38"/>
        <v>67.174154403625039</v>
      </c>
      <c r="AE21" s="1">
        <f t="shared" si="38"/>
        <v>61.198024919238009</v>
      </c>
    </row>
    <row r="22" spans="1:31" x14ac:dyDescent="0.25">
      <c r="A22" s="107"/>
      <c r="B22">
        <f t="shared" si="24"/>
        <v>33</v>
      </c>
      <c r="D22" s="6" t="str">
        <f t="shared" si="19"/>
        <v>RbBar at Beta = 33</v>
      </c>
      <c r="E22" s="1">
        <f>(((COS(($B2-$B22)*PI()/180)*COS(E6*PI()/180)*SIN(T13*PI()/180))+((PI()/180)*T13*SIN(($B2-$B22)*PI()/180)*SIN(E6*PI()/180)))/((COS($B2*PI()/180)*COS(E6*PI()/180)*SIN(E7*PI()/180))+((PI()/180)*E7*SIN($B2*PI()/180)*SIN(E6*PI()/180))))</f>
        <v>2.7398275736704756</v>
      </c>
      <c r="F22" s="1">
        <f t="shared" ref="F22:P22" si="39">(((COS(($B2-$B22)*PI()/180)*COS(F6*PI()/180)*SIN(U13*PI()/180))+((PI()/180)*U13*SIN(($B2-$B22)*PI()/180)*SIN(F6*PI()/180)))/((COS($B2*PI()/180)*COS(F6*PI()/180)*SIN(F7*PI()/180))+((PI()/180)*F7*SIN($B2*PI()/180)*SIN(F6*PI()/180))))</f>
        <v>2.0534035376438027</v>
      </c>
      <c r="G22" s="1">
        <f t="shared" si="39"/>
        <v>1.5416623030412426</v>
      </c>
      <c r="H22" s="1">
        <f t="shared" si="39"/>
        <v>1.1903031800520787</v>
      </c>
      <c r="I22" s="1">
        <f t="shared" si="39"/>
        <v>0.9987849389395338</v>
      </c>
      <c r="J22" s="1">
        <f t="shared" si="39"/>
        <v>0.925272579931818</v>
      </c>
      <c r="K22" s="1">
        <f t="shared" si="39"/>
        <v>0.95700043091402598</v>
      </c>
      <c r="L22" s="1">
        <f t="shared" si="39"/>
        <v>1.1014270685725449</v>
      </c>
      <c r="M22" s="1">
        <f t="shared" si="39"/>
        <v>1.38348254227654</v>
      </c>
      <c r="N22" s="1">
        <f t="shared" si="39"/>
        <v>1.8590554857869364</v>
      </c>
      <c r="O22" s="1">
        <f t="shared" si="39"/>
        <v>2.5246995603712934</v>
      </c>
      <c r="P22" s="1">
        <f t="shared" si="39"/>
        <v>3.0170951666851953</v>
      </c>
      <c r="Q22" s="1"/>
      <c r="R22" s="107"/>
      <c r="S22" t="str">
        <f t="shared" si="2"/>
        <v>Beta - 60</v>
      </c>
      <c r="T22" s="1">
        <f>MIN(DEGREES(ACOS((-TAN($B2*PI()/180))*TAN(E6*PI()/180))),DEGREES(ACOS((-TAN(($B2-$B31)*PI()/180))*TAN(E6*PI()/180))))</f>
        <v>64.357071680080139</v>
      </c>
      <c r="U22" s="1">
        <f t="shared" ref="U22:AE22" si="40">MIN(DEGREES(ACOS((-TAN($B2*PI()/180))*TAN(F6*PI()/180))),DEGREES(ACOS((-TAN(($B2-$B31)*PI()/180))*TAN(F6*PI()/180))))</f>
        <v>74.902424284262636</v>
      </c>
      <c r="V22" s="1">
        <f t="shared" si="40"/>
        <v>87.259767273219694</v>
      </c>
      <c r="W22" s="1">
        <f t="shared" si="40"/>
        <v>88.075360355844069</v>
      </c>
      <c r="X22" s="1">
        <f t="shared" si="40"/>
        <v>86.048064488705705</v>
      </c>
      <c r="Y22" s="1">
        <f t="shared" si="40"/>
        <v>85.04729863221506</v>
      </c>
      <c r="Z22" s="1">
        <f t="shared" si="40"/>
        <v>85.497924724845902</v>
      </c>
      <c r="AA22" s="1">
        <f t="shared" si="40"/>
        <v>87.222469437978134</v>
      </c>
      <c r="AB22" s="1">
        <f t="shared" si="40"/>
        <v>89.550754799613955</v>
      </c>
      <c r="AC22" s="1">
        <f t="shared" si="40"/>
        <v>78.959709277416707</v>
      </c>
      <c r="AD22" s="1">
        <f t="shared" si="40"/>
        <v>67.174154403625039</v>
      </c>
      <c r="AE22" s="1">
        <f t="shared" si="40"/>
        <v>61.198024919238009</v>
      </c>
    </row>
    <row r="23" spans="1:31" x14ac:dyDescent="0.25">
      <c r="A23" s="107"/>
      <c r="B23">
        <f t="shared" si="24"/>
        <v>36</v>
      </c>
      <c r="D23" s="6" t="str">
        <f t="shared" si="19"/>
        <v>RbBar at Beta = 36</v>
      </c>
      <c r="E23" s="1">
        <f>(((COS(($B2-$B23)*PI()/180)*COS(E6*PI()/180)*SIN(T14*PI()/180))+((PI()/180)*T14*SIN(($B2-$B23)*PI()/180)*SIN(E6*PI()/180)))/((COS($B2*PI()/180)*COS(E6*PI()/180)*SIN(E7*PI()/180))+((PI()/180)*E7*SIN($B2*PI()/180)*SIN(E6*PI()/180))))</f>
        <v>2.8607833541381074</v>
      </c>
      <c r="F23" s="1">
        <f t="shared" ref="F23:P23" si="41">(((COS(($B2-$B23)*PI()/180)*COS(F6*PI()/180)*SIN(U14*PI()/180))+((PI()/180)*U14*SIN(($B2-$B23)*PI()/180)*SIN(F6*PI()/180)))/((COS($B2*PI()/180)*COS(F6*PI()/180)*SIN(F7*PI()/180))+((PI()/180)*F7*SIN($B2*PI()/180)*SIN(F6*PI()/180))))</f>
        <v>2.1199809157223157</v>
      </c>
      <c r="G23" s="1">
        <f t="shared" si="41"/>
        <v>1.567699622331312</v>
      </c>
      <c r="H23" s="1">
        <f t="shared" si="41"/>
        <v>1.1892914512168939</v>
      </c>
      <c r="I23" s="1">
        <f t="shared" si="41"/>
        <v>0.98444057962331244</v>
      </c>
      <c r="J23" s="1">
        <f t="shared" si="41"/>
        <v>0.90621310665957677</v>
      </c>
      <c r="K23" s="1">
        <f t="shared" si="41"/>
        <v>0.93994300758084215</v>
      </c>
      <c r="L23" s="1">
        <f t="shared" si="41"/>
        <v>1.0940644930061061</v>
      </c>
      <c r="M23" s="1">
        <f t="shared" si="41"/>
        <v>1.3970411851696674</v>
      </c>
      <c r="N23" s="1">
        <f t="shared" si="41"/>
        <v>1.9102366422695565</v>
      </c>
      <c r="O23" s="1">
        <f t="shared" si="41"/>
        <v>2.6286129340198547</v>
      </c>
      <c r="P23" s="1">
        <f t="shared" si="41"/>
        <v>3.160016041542137</v>
      </c>
      <c r="Q23" s="1"/>
      <c r="R23" s="107"/>
      <c r="S23" t="str">
        <f t="shared" si="2"/>
        <v>Beta - 63</v>
      </c>
      <c r="T23" s="1">
        <f>MIN(DEGREES(ACOS((-TAN($B2*PI()/180))*TAN(E6*PI()/180))),DEGREES(ACOS((-TAN(($B2-$B32)*PI()/180))*TAN(E6*PI()/180))))</f>
        <v>64.357071680080139</v>
      </c>
      <c r="U23" s="1">
        <f t="shared" ref="U23:AE23" si="42">MIN(DEGREES(ACOS((-TAN($B2*PI()/180))*TAN(F6*PI()/180))),DEGREES(ACOS((-TAN(($B2-$B32)*PI()/180))*TAN(F6*PI()/180))))</f>
        <v>74.902424284262636</v>
      </c>
      <c r="V23" s="1">
        <f t="shared" si="42"/>
        <v>87.259767273219694</v>
      </c>
      <c r="W23" s="1">
        <f t="shared" si="42"/>
        <v>87.551086664522174</v>
      </c>
      <c r="X23" s="1">
        <f t="shared" si="42"/>
        <v>84.96966461459472</v>
      </c>
      <c r="Y23" s="1">
        <f t="shared" si="42"/>
        <v>83.694032531982984</v>
      </c>
      <c r="Z23" s="1">
        <f t="shared" si="42"/>
        <v>84.268560393425531</v>
      </c>
      <c r="AA23" s="1">
        <f t="shared" si="42"/>
        <v>86.465421288251619</v>
      </c>
      <c r="AB23" s="1">
        <f t="shared" si="42"/>
        <v>89.428442897464222</v>
      </c>
      <c r="AC23" s="1">
        <f t="shared" si="42"/>
        <v>78.959709277416707</v>
      </c>
      <c r="AD23" s="1">
        <f t="shared" si="42"/>
        <v>67.174154403625039</v>
      </c>
      <c r="AE23" s="1">
        <f t="shared" si="42"/>
        <v>61.198024919238009</v>
      </c>
    </row>
    <row r="24" spans="1:31" x14ac:dyDescent="0.25">
      <c r="A24" s="107"/>
      <c r="B24">
        <f t="shared" si="24"/>
        <v>39</v>
      </c>
      <c r="D24" s="6" t="str">
        <f t="shared" si="19"/>
        <v>RbBar at Beta = 39</v>
      </c>
      <c r="E24" s="1">
        <f>(((COS(($B2-$B24)*PI()/180)*COS(E6*PI()/180)*SIN(T15*PI()/180))+((PI()/180)*T15*SIN(($B2-$B24)*PI()/180)*SIN(E6*PI()/180)))/((COS($B2*PI()/180)*COS(E6*PI()/180)*SIN(E7*PI()/180))+((PI()/180)*E7*SIN($B2*PI()/180)*SIN(E6*PI()/180))))</f>
        <v>2.973897926282659</v>
      </c>
      <c r="F24" s="1">
        <f t="shared" ref="F24:P24" si="43">(((COS(($B2-$B24)*PI()/180)*COS(F6*PI()/180)*SIN(U15*PI()/180))+((PI()/180)*U15*SIN(($B2-$B24)*PI()/180)*SIN(F6*PI()/180)))/((COS($B2*PI()/180)*COS(F6*PI()/180)*SIN(F7*PI()/180))+((PI()/180)*F7*SIN($B2*PI()/180)*SIN(F6*PI()/180))))</f>
        <v>2.180747573468901</v>
      </c>
      <c r="G24" s="1">
        <f t="shared" si="43"/>
        <v>1.589439985926036</v>
      </c>
      <c r="H24" s="1">
        <f t="shared" si="43"/>
        <v>1.1851133577166768</v>
      </c>
      <c r="I24" s="1">
        <f t="shared" si="43"/>
        <v>0.96770585456102443</v>
      </c>
      <c r="J24" s="1">
        <f t="shared" si="43"/>
        <v>0.885103048089383</v>
      </c>
      <c r="K24" s="1">
        <f t="shared" si="43"/>
        <v>0.9206851435267025</v>
      </c>
      <c r="L24" s="1">
        <f t="shared" si="43"/>
        <v>1.0838778125763453</v>
      </c>
      <c r="M24" s="1">
        <f t="shared" si="43"/>
        <v>1.4067768771040436</v>
      </c>
      <c r="N24" s="1">
        <f t="shared" si="43"/>
        <v>1.9561819728946368</v>
      </c>
      <c r="O24" s="1">
        <f t="shared" si="43"/>
        <v>2.7253214623289126</v>
      </c>
      <c r="P24" s="1">
        <f t="shared" si="43"/>
        <v>3.294275532079233</v>
      </c>
      <c r="Q24" s="1"/>
      <c r="R24" s="107"/>
      <c r="S24" t="str">
        <f t="shared" si="2"/>
        <v>Beta - 66</v>
      </c>
      <c r="T24" s="1">
        <f>MIN(DEGREES(ACOS((-TAN($B2*PI()/180))*TAN(E6*PI()/180))),DEGREES(ACOS((-TAN(($B2-$B33)*PI()/180))*TAN(E6*PI()/180))))</f>
        <v>64.357071680080139</v>
      </c>
      <c r="U24" s="1">
        <f t="shared" ref="U24:AE24" si="44">MIN(DEGREES(ACOS((-TAN($B2*PI()/180))*TAN(F6*PI()/180))),DEGREES(ACOS((-TAN(($B2-$B33)*PI()/180))*TAN(F6*PI()/180))))</f>
        <v>74.902424284262636</v>
      </c>
      <c r="V24" s="1">
        <f t="shared" si="44"/>
        <v>87.259767273219694</v>
      </c>
      <c r="W24" s="1">
        <f t="shared" si="44"/>
        <v>87.012244526748688</v>
      </c>
      <c r="X24" s="1">
        <f t="shared" si="44"/>
        <v>83.859871112590895</v>
      </c>
      <c r="Y24" s="1">
        <f t="shared" si="44"/>
        <v>82.300018422108934</v>
      </c>
      <c r="Z24" s="1">
        <f t="shared" si="44"/>
        <v>83.002767612122298</v>
      </c>
      <c r="AA24" s="1">
        <f t="shared" si="44"/>
        <v>85.687000349302977</v>
      </c>
      <c r="AB24" s="1">
        <f t="shared" si="44"/>
        <v>89.302779458804977</v>
      </c>
      <c r="AC24" s="1">
        <f t="shared" si="44"/>
        <v>78.959709277416707</v>
      </c>
      <c r="AD24" s="1">
        <f t="shared" si="44"/>
        <v>67.174154403625039</v>
      </c>
      <c r="AE24" s="1">
        <f t="shared" si="44"/>
        <v>61.198024919238009</v>
      </c>
    </row>
    <row r="25" spans="1:31" x14ac:dyDescent="0.25">
      <c r="A25" s="107"/>
      <c r="B25">
        <f t="shared" si="24"/>
        <v>42</v>
      </c>
      <c r="D25" s="6" t="str">
        <f t="shared" si="19"/>
        <v>RbBar at Beta = 42</v>
      </c>
      <c r="E25" s="1">
        <f>(((COS(($B2-$B25)*PI()/180)*COS(E6*PI()/180)*SIN(T16*PI()/180))+((PI()/180)*T16*SIN(($B2-$B25)*PI()/180)*SIN(E6*PI()/180)))/((COS($B2*PI()/180)*COS(E6*PI()/180)*SIN(E7*PI()/180))+((PI()/180)*E7*SIN($B2*PI()/180)*SIN(E6*PI()/180))))</f>
        <v>3.0788612509243807</v>
      </c>
      <c r="F25" s="1">
        <f t="shared" ref="F25:P25" si="45">(((COS(($B2-$B25)*PI()/180)*COS(F6*PI()/180)*SIN(U16*PI()/180))+((PI()/180)*U16*SIN(($B2-$B25)*PI()/180)*SIN(F6*PI()/180)))/((COS($B2*PI()/180)*COS(F6*PI()/180)*SIN(F7*PI()/180))+((PI()/180)*F7*SIN($B2*PI()/180)*SIN(F6*PI()/180))))</f>
        <v>2.2355369536985132</v>
      </c>
      <c r="G25" s="1">
        <f t="shared" si="45"/>
        <v>1.6068238049999553</v>
      </c>
      <c r="H25" s="1">
        <f t="shared" si="45"/>
        <v>1.1777774972455963</v>
      </c>
      <c r="I25" s="1">
        <f t="shared" si="45"/>
        <v>0.94861694007011321</v>
      </c>
      <c r="J25" s="1">
        <f t="shared" si="45"/>
        <v>0.8619863280612523</v>
      </c>
      <c r="K25" s="1">
        <f t="shared" si="45"/>
        <v>0.8992676564104426</v>
      </c>
      <c r="L25" s="1">
        <f t="shared" si="45"/>
        <v>1.0708895572954917</v>
      </c>
      <c r="M25" s="1">
        <f t="shared" si="45"/>
        <v>1.4126627441666464</v>
      </c>
      <c r="N25" s="1">
        <f t="shared" si="45"/>
        <v>1.9967655447045549</v>
      </c>
      <c r="O25" s="1">
        <f t="shared" si="45"/>
        <v>2.8145600739444991</v>
      </c>
      <c r="P25" s="1">
        <f t="shared" si="45"/>
        <v>3.4195056423651846</v>
      </c>
      <c r="Q25" s="1"/>
      <c r="R25" s="107"/>
      <c r="S25" t="str">
        <f t="shared" si="2"/>
        <v>Beta - 69</v>
      </c>
      <c r="T25" s="1">
        <f>MIN(DEGREES(ACOS((-TAN($B2*PI()/180))*TAN(E6*PI()/180))),DEGREES(ACOS((-TAN(($B2-$B34)*PI()/180))*TAN(E6*PI()/180))))</f>
        <v>64.357071680080139</v>
      </c>
      <c r="U25" s="1">
        <f t="shared" ref="U25:AE25" si="46">MIN(DEGREES(ACOS((-TAN($B2*PI()/180))*TAN(F6*PI()/180))),DEGREES(ACOS((-TAN(($B2-$B34)*PI()/180))*TAN(F6*PI()/180))))</f>
        <v>74.902424284262636</v>
      </c>
      <c r="V25" s="1">
        <f t="shared" si="46"/>
        <v>87.259767273219694</v>
      </c>
      <c r="W25" s="1">
        <f t="shared" si="46"/>
        <v>86.455072774212269</v>
      </c>
      <c r="X25" s="1">
        <f t="shared" si="46"/>
        <v>82.710459459583234</v>
      </c>
      <c r="Y25" s="1">
        <f t="shared" si="46"/>
        <v>80.85445930347214</v>
      </c>
      <c r="Z25" s="1">
        <f t="shared" si="46"/>
        <v>81.69094653187318</v>
      </c>
      <c r="AA25" s="1">
        <f t="shared" si="46"/>
        <v>84.881661887144034</v>
      </c>
      <c r="AB25" s="1">
        <f t="shared" si="46"/>
        <v>89.172902819802644</v>
      </c>
      <c r="AC25" s="1">
        <f t="shared" si="46"/>
        <v>78.959709277416707</v>
      </c>
      <c r="AD25" s="1">
        <f t="shared" si="46"/>
        <v>67.174154403625039</v>
      </c>
      <c r="AE25" s="1">
        <f t="shared" si="46"/>
        <v>61.198024919238009</v>
      </c>
    </row>
    <row r="26" spans="1:31" x14ac:dyDescent="0.25">
      <c r="A26" s="107"/>
      <c r="B26">
        <f t="shared" si="24"/>
        <v>45</v>
      </c>
      <c r="D26" s="6" t="str">
        <f t="shared" si="19"/>
        <v>RbBar at Beta = 45</v>
      </c>
      <c r="E26" s="1">
        <f>(((COS(($B2-$B26)*PI()/180)*COS(E6*PI()/180)*SIN(T17*PI()/180))+((PI()/180)*T17*SIN(($B2-$B26)*PI()/180)*SIN(E6*PI()/180)))/((COS($B2*PI()/180)*COS(E6*PI()/180)*SIN(E7*PI()/180))+((PI()/180)*E7*SIN($B2*PI()/180)*SIN(E6*PI()/180))))</f>
        <v>3.1753856308863404</v>
      </c>
      <c r="F26" s="1">
        <f t="shared" ref="F26:P26" si="47">(((COS(($B2-$B26)*PI()/180)*COS(F6*PI()/180)*SIN(U17*PI()/180))+((PI()/180)*U17*SIN(($B2-$B26)*PI()/180)*SIN(F6*PI()/180)))/((COS($B2*PI()/180)*COS(F6*PI()/180)*SIN(F7*PI()/180))+((PI()/180)*F7*SIN($B2*PI()/180)*SIN(F6*PI()/180))))</f>
        <v>2.2841988825283059</v>
      </c>
      <c r="G26" s="1">
        <f t="shared" si="47"/>
        <v>1.619803431713323</v>
      </c>
      <c r="H26" s="1">
        <f t="shared" si="47"/>
        <v>1.1673019648558023</v>
      </c>
      <c r="I26" s="1">
        <f t="shared" si="47"/>
        <v>0.92721933453139782</v>
      </c>
      <c r="J26" s="1">
        <f t="shared" si="47"/>
        <v>0.83691650735801482</v>
      </c>
      <c r="K26" s="1">
        <f t="shared" si="47"/>
        <v>0.8757408307609893</v>
      </c>
      <c r="L26" s="1">
        <f t="shared" si="47"/>
        <v>1.0551315285024168</v>
      </c>
      <c r="M26" s="1">
        <f t="shared" si="47"/>
        <v>1.4146825202760878</v>
      </c>
      <c r="N26" s="1">
        <f t="shared" si="47"/>
        <v>2.0318761209499092</v>
      </c>
      <c r="O26" s="1">
        <f t="shared" si="47"/>
        <v>2.8960841720350761</v>
      </c>
      <c r="P26" s="1">
        <f t="shared" si="47"/>
        <v>3.5353631253723363</v>
      </c>
      <c r="Q26" s="1"/>
      <c r="R26" s="107"/>
      <c r="S26" t="str">
        <f t="shared" si="2"/>
        <v>Beta - 72</v>
      </c>
      <c r="T26" s="1">
        <f>MIN(DEGREES(ACOS((-TAN($B2*PI()/180))*TAN(E6*PI()/180))),DEGREES(ACOS((-TAN(($B2-$B35)*PI()/180))*TAN(E6*PI()/180))))</f>
        <v>64.357071680080139</v>
      </c>
      <c r="U26" s="1">
        <f t="shared" ref="U26:AE26" si="48">MIN(DEGREES(ACOS((-TAN($B2*PI()/180))*TAN(F6*PI()/180))),DEGREES(ACOS((-TAN(($B2-$B35)*PI()/180))*TAN(F6*PI()/180))))</f>
        <v>74.902424284262636</v>
      </c>
      <c r="V26" s="1">
        <f t="shared" si="48"/>
        <v>87.259767273219694</v>
      </c>
      <c r="W26" s="1">
        <f t="shared" si="48"/>
        <v>85.875333095452532</v>
      </c>
      <c r="X26" s="1">
        <f t="shared" si="48"/>
        <v>81.512084181152119</v>
      </c>
      <c r="Y26" s="1">
        <f t="shared" si="48"/>
        <v>79.345006256559003</v>
      </c>
      <c r="Z26" s="1">
        <f t="shared" si="48"/>
        <v>80.322152002308371</v>
      </c>
      <c r="AA26" s="1">
        <f t="shared" si="48"/>
        <v>84.043140528292668</v>
      </c>
      <c r="AB26" s="1">
        <f t="shared" si="48"/>
        <v>89.037844294786794</v>
      </c>
      <c r="AC26" s="1">
        <f t="shared" si="48"/>
        <v>78.959709277416707</v>
      </c>
      <c r="AD26" s="1">
        <f t="shared" si="48"/>
        <v>67.174154403625039</v>
      </c>
      <c r="AE26" s="1">
        <f t="shared" si="48"/>
        <v>61.198024919238009</v>
      </c>
    </row>
    <row r="27" spans="1:31" x14ac:dyDescent="0.25">
      <c r="A27" s="107"/>
      <c r="B27">
        <f t="shared" si="24"/>
        <v>48</v>
      </c>
      <c r="D27" s="6" t="str">
        <f t="shared" si="19"/>
        <v>RbBar at Beta = 48</v>
      </c>
      <c r="E27" s="1">
        <f>(((COS(($B2-$B27)*PI()/180)*COS(E6*PI()/180)*SIN(T18*PI()/180))+((PI()/180)*T18*SIN(($B2-$B27)*PI()/180)*SIN(E6*PI()/180)))/((COS($B2*PI()/180)*COS(E6*PI()/180)*SIN(E7*PI()/180))+((PI()/180)*E7*SIN($B2*PI()/180)*SIN(E6*PI()/180))))</f>
        <v>3.2632064995523886</v>
      </c>
      <c r="F27" s="1">
        <f t="shared" ref="F27:P27" si="49">(((COS(($B2-$B27)*PI()/180)*COS(F6*PI()/180)*SIN(U18*PI()/180))+((PI()/180)*U18*SIN(($B2-$B27)*PI()/180)*SIN(F6*PI()/180)))/((COS($B2*PI()/180)*COS(F6*PI()/180)*SIN(F7*PI()/180))+((PI()/180)*F7*SIN($B2*PI()/180)*SIN(F6*PI()/180))))</f>
        <v>2.3265999809938065</v>
      </c>
      <c r="G27" s="1">
        <f t="shared" si="49"/>
        <v>1.6283432898115207</v>
      </c>
      <c r="H27" s="1">
        <f t="shared" si="49"/>
        <v>1.1537142390367419</v>
      </c>
      <c r="I27" s="1">
        <f t="shared" si="49"/>
        <v>0.90356750588042045</v>
      </c>
      <c r="J27" s="1">
        <f t="shared" si="49"/>
        <v>0.80995629883920717</v>
      </c>
      <c r="K27" s="1">
        <f t="shared" si="49"/>
        <v>0.85016399423112876</v>
      </c>
      <c r="L27" s="1">
        <f t="shared" si="49"/>
        <v>1.0366445884775324</v>
      </c>
      <c r="M27" s="1">
        <f t="shared" si="49"/>
        <v>1.4128305875580778</v>
      </c>
      <c r="N27" s="1">
        <f t="shared" si="49"/>
        <v>2.0614174659817168</v>
      </c>
      <c r="O27" s="1">
        <f t="shared" si="49"/>
        <v>2.9696703047144468</v>
      </c>
      <c r="P27" s="1">
        <f t="shared" si="49"/>
        <v>3.6415304237929198</v>
      </c>
      <c r="Q27" s="1"/>
      <c r="R27" s="107"/>
      <c r="S27" t="str">
        <f t="shared" si="2"/>
        <v>Beta - 75</v>
      </c>
      <c r="T27" s="1">
        <f>MIN(DEGREES(ACOS((-TAN($B2*PI()/180))*TAN(E6*PI()/180))),DEGREES(ACOS((-TAN(($B2-$B36)*PI()/180))*TAN(E6*PI()/180))))</f>
        <v>64.357071680080139</v>
      </c>
      <c r="U27" s="1">
        <f t="shared" ref="U27:AE27" si="50">MIN(DEGREES(ACOS((-TAN($B2*PI()/180))*TAN(F6*PI()/180))),DEGREES(ACOS((-TAN(($B2-$B36)*PI()/180))*TAN(F6*PI()/180))))</f>
        <v>74.902424284262636</v>
      </c>
      <c r="V27" s="1">
        <f t="shared" si="50"/>
        <v>87.259767273219694</v>
      </c>
      <c r="W27" s="1">
        <f t="shared" si="50"/>
        <v>85.268167243180073</v>
      </c>
      <c r="X27" s="1">
        <f t="shared" si="50"/>
        <v>80.253927336284434</v>
      </c>
      <c r="Y27" s="1">
        <f t="shared" si="50"/>
        <v>77.757253603631725</v>
      </c>
      <c r="Z27" s="1">
        <f t="shared" si="50"/>
        <v>78.883663618416705</v>
      </c>
      <c r="AA27" s="1">
        <f t="shared" si="50"/>
        <v>83.164231250860709</v>
      </c>
      <c r="AB27" s="1">
        <f t="shared" si="50"/>
        <v>88.896496565868233</v>
      </c>
      <c r="AC27" s="1">
        <f t="shared" si="50"/>
        <v>78.959709277416707</v>
      </c>
      <c r="AD27" s="1">
        <f t="shared" si="50"/>
        <v>67.174154403625039</v>
      </c>
      <c r="AE27" s="1">
        <f t="shared" si="50"/>
        <v>61.198024919238009</v>
      </c>
    </row>
    <row r="28" spans="1:31" x14ac:dyDescent="0.25">
      <c r="A28" s="107"/>
      <c r="B28">
        <f t="shared" si="24"/>
        <v>51</v>
      </c>
      <c r="D28" s="6" t="str">
        <f t="shared" si="19"/>
        <v>RbBar at Beta = 51</v>
      </c>
      <c r="E28" s="1">
        <f>(((COS(($B2-$B28)*PI()/180)*COS(E6*PI()/180)*SIN(T19*PI()/180))+((PI()/180)*T19*SIN(($B2-$B28)*PI()/180)*SIN(E6*PI()/180)))/((COS($B2*PI()/180)*COS(E6*PI()/180)*SIN(E7*PI()/180))+((PI()/180)*E7*SIN($B2*PI()/180)*SIN(E6*PI()/180))))</f>
        <v>3.342083146025868</v>
      </c>
      <c r="F28" s="1">
        <f t="shared" ref="F28:P28" si="51">(((COS(($B2-$B28)*PI()/180)*COS(F6*PI()/180)*SIN(U19*PI()/180))+((PI()/180)*U19*SIN(($B2-$B28)*PI()/180)*SIN(F6*PI()/180)))/((COS($B2*PI()/180)*COS(F6*PI()/180)*SIN(F7*PI()/180))+((PI()/180)*F7*SIN($B2*PI()/180)*SIN(F6*PI()/180))))</f>
        <v>2.3626240306313844</v>
      </c>
      <c r="G28" s="1">
        <f t="shared" si="51"/>
        <v>1.6324199721370993</v>
      </c>
      <c r="H28" s="1">
        <f t="shared" si="51"/>
        <v>1.1370510678133312</v>
      </c>
      <c r="I28" s="1">
        <f t="shared" si="51"/>
        <v>0.87772460600852686</v>
      </c>
      <c r="J28" s="1">
        <f t="shared" si="51"/>
        <v>0.78117719367797722</v>
      </c>
      <c r="K28" s="1">
        <f t="shared" si="51"/>
        <v>0.82260518408053007</v>
      </c>
      <c r="L28" s="1">
        <f t="shared" si="51"/>
        <v>1.0154784745877945</v>
      </c>
      <c r="M28" s="1">
        <f t="shared" si="51"/>
        <v>1.4071119892172053</v>
      </c>
      <c r="N28" s="1">
        <f t="shared" si="51"/>
        <v>2.0853086090266397</v>
      </c>
      <c r="O28" s="1">
        <f t="shared" si="51"/>
        <v>3.0351167775078478</v>
      </c>
      <c r="P28" s="1">
        <f t="shared" si="51"/>
        <v>3.7377165404415638</v>
      </c>
      <c r="Q28" s="1"/>
      <c r="R28" s="107"/>
      <c r="S28" t="str">
        <f>$A$12&amp;TEXT(B37," - ")&amp;B37</f>
        <v>Beta - 78</v>
      </c>
      <c r="T28" s="1">
        <f>MIN(DEGREES(ACOS((-TAN($B2*PI()/180))*TAN(E6*PI()/180))),DEGREES(ACOS((-TAN(($B2-$B37)*PI()/180))*TAN(E6*PI()/180))))</f>
        <v>64.357071680080139</v>
      </c>
      <c r="U28" s="1">
        <f t="shared" ref="U28:AE28" si="52">MIN(DEGREES(ACOS((-TAN($B2*PI()/180))*TAN(F6*PI()/180))),DEGREES(ACOS((-TAN(($B2-$B37)*PI()/180))*TAN(F6*PI()/180))))</f>
        <v>74.902424284262636</v>
      </c>
      <c r="V28" s="1">
        <f t="shared" si="52"/>
        <v>87.259767273219694</v>
      </c>
      <c r="W28" s="1">
        <f t="shared" si="52"/>
        <v>84.627915186307817</v>
      </c>
      <c r="X28" s="1">
        <f t="shared" si="52"/>
        <v>78.923240903761751</v>
      </c>
      <c r="Y28" s="1">
        <f t="shared" si="52"/>
        <v>76.074069994471429</v>
      </c>
      <c r="Z28" s="1">
        <f t="shared" si="52"/>
        <v>77.360420879422961</v>
      </c>
      <c r="AA28" s="1">
        <f t="shared" si="52"/>
        <v>82.236508465526185</v>
      </c>
      <c r="AB28" s="1">
        <f t="shared" si="52"/>
        <v>88.747573669990373</v>
      </c>
      <c r="AC28" s="1">
        <f t="shared" si="52"/>
        <v>78.959709277416707</v>
      </c>
      <c r="AD28" s="1">
        <f t="shared" si="52"/>
        <v>67.174154403625039</v>
      </c>
      <c r="AE28" s="1">
        <f t="shared" si="52"/>
        <v>61.198024919238009</v>
      </c>
    </row>
    <row r="29" spans="1:31" x14ac:dyDescent="0.25">
      <c r="A29" s="107"/>
      <c r="B29">
        <f t="shared" si="24"/>
        <v>54</v>
      </c>
      <c r="D29" s="6" t="str">
        <f t="shared" si="19"/>
        <v>RbBar at Beta = 54</v>
      </c>
      <c r="E29" s="1">
        <f>(((COS(($B2-$B29)*PI()/180)*COS(E6*PI()/180)*SIN(T20*PI()/180))+((PI()/180)*T20*SIN(($B2-$B29)*PI()/180)*SIN(E6*PI()/180)))/((COS($B2*PI()/180)*COS(E6*PI()/180)*SIN(E7*PI()/180))+((PI()/180)*E7*SIN($B2*PI()/180)*SIN(E6*PI()/180))))</f>
        <v>3.4117993749014404</v>
      </c>
      <c r="F29" s="1">
        <f t="shared" ref="F29:P29" si="53">(((COS(($B2-$B29)*PI()/180)*COS(F6*PI()/180)*SIN(U20*PI()/180))+((PI()/180)*U20*SIN(($B2-$B29)*PI()/180)*SIN(F6*PI()/180)))/((COS($B2*PI()/180)*COS(F6*PI()/180)*SIN(F7*PI()/180))+((PI()/180)*F7*SIN($B2*PI()/180)*SIN(F6*PI()/180))))</f>
        <v>2.392172292024985</v>
      </c>
      <c r="G29" s="1">
        <f t="shared" si="53"/>
        <v>1.6320223047871711</v>
      </c>
      <c r="H29" s="1">
        <f t="shared" si="53"/>
        <v>1.1173583527344857</v>
      </c>
      <c r="I29" s="1">
        <f t="shared" si="53"/>
        <v>0.84976224373546261</v>
      </c>
      <c r="J29" s="1">
        <f t="shared" si="53"/>
        <v>0.75065918562040401</v>
      </c>
      <c r="K29" s="1">
        <f t="shared" si="53"/>
        <v>0.79314089310618596</v>
      </c>
      <c r="L29" s="1">
        <f t="shared" si="53"/>
        <v>0.99169163371141511</v>
      </c>
      <c r="M29" s="1">
        <f t="shared" si="53"/>
        <v>1.3975424147125068</v>
      </c>
      <c r="N29" s="1">
        <f t="shared" si="53"/>
        <v>2.1034840661222449</v>
      </c>
      <c r="O29" s="1">
        <f t="shared" si="53"/>
        <v>3.0922442061824804</v>
      </c>
      <c r="P29" s="1">
        <f t="shared" si="53"/>
        <v>3.8236578358583482</v>
      </c>
      <c r="Q29" s="1"/>
      <c r="R29" s="107"/>
      <c r="S29" t="str">
        <f t="shared" si="2"/>
        <v>Beta - 81</v>
      </c>
      <c r="T29" s="1">
        <f>MIN(DEGREES(ACOS((-TAN($B2*PI()/180))*TAN(E6*PI()/180))),DEGREES(ACOS((-TAN(($B2-$B38)*PI()/180))*TAN(E6*PI()/180))))</f>
        <v>64.357071680080139</v>
      </c>
      <c r="U29" s="1">
        <f t="shared" ref="U29:AE29" si="54">MIN(DEGREES(ACOS((-TAN($B2*PI()/180))*TAN(F6*PI()/180))),DEGREES(ACOS((-TAN(($B2-$B38)*PI()/180))*TAN(F6*PI()/180))))</f>
        <v>74.902424284262636</v>
      </c>
      <c r="V29" s="1">
        <f t="shared" si="54"/>
        <v>87.259767273219694</v>
      </c>
      <c r="W29" s="1">
        <f t="shared" si="54"/>
        <v>83.947878685166998</v>
      </c>
      <c r="X29" s="1">
        <f t="shared" si="54"/>
        <v>77.504736704346328</v>
      </c>
      <c r="Y29" s="1">
        <f t="shared" si="54"/>
        <v>74.274688234193121</v>
      </c>
      <c r="Z29" s="1">
        <f t="shared" si="54"/>
        <v>75.734262212605898</v>
      </c>
      <c r="AA29" s="1">
        <f t="shared" si="54"/>
        <v>81.249957800039951</v>
      </c>
      <c r="AB29" s="1">
        <f t="shared" si="54"/>
        <v>88.58955933144081</v>
      </c>
      <c r="AC29" s="1">
        <f t="shared" si="54"/>
        <v>78.959709277416707</v>
      </c>
      <c r="AD29" s="1">
        <f t="shared" si="54"/>
        <v>67.174154403625039</v>
      </c>
      <c r="AE29" s="1">
        <f t="shared" si="54"/>
        <v>61.198024919238009</v>
      </c>
    </row>
    <row r="30" spans="1:31" x14ac:dyDescent="0.25">
      <c r="A30" s="107"/>
      <c r="B30">
        <f t="shared" si="24"/>
        <v>57</v>
      </c>
      <c r="D30" s="6" t="str">
        <f t="shared" si="19"/>
        <v>RbBar at Beta = 57</v>
      </c>
      <c r="E30" s="1">
        <f>(((COS(($B2-$B30)*PI()/180)*COS(E6*PI()/180)*SIN(T21*PI()/180))+((PI()/180)*T21*SIN(($B2-$B30)*PI()/180)*SIN(E6*PI()/180)))/((COS($B2*PI()/180)*COS(E6*PI()/180)*SIN(E7*PI()/180))+((PI()/180)*E7*SIN($B2*PI()/180)*SIN(E6*PI()/180))))</f>
        <v>3.4721640988416747</v>
      </c>
      <c r="F30" s="1">
        <f t="shared" ref="F30:P30" si="55">(((COS(($B2-$B30)*PI()/180)*COS(F6*PI()/180)*SIN(U21*PI()/180))+((PI()/180)*U21*SIN(($B2-$B30)*PI()/180)*SIN(F6*PI()/180)))/((COS($B2*PI()/180)*COS(F6*PI()/180)*SIN(F7*PI()/180))+((PI()/180)*F7*SIN($B2*PI()/180)*SIN(F6*PI()/180))))</f>
        <v>2.4151637754440016</v>
      </c>
      <c r="G30" s="1">
        <f t="shared" si="55"/>
        <v>1.6271513777403006</v>
      </c>
      <c r="H30" s="1">
        <f t="shared" si="55"/>
        <v>1.0946910301181072</v>
      </c>
      <c r="I30" s="1">
        <f t="shared" si="55"/>
        <v>0.81976031342865618</v>
      </c>
      <c r="J30" s="1">
        <f t="shared" si="55"/>
        <v>0.71849058855065673</v>
      </c>
      <c r="K30" s="1">
        <f t="shared" si="55"/>
        <v>0.76185589117370567</v>
      </c>
      <c r="L30" s="1">
        <f t="shared" si="55"/>
        <v>0.96535107554146826</v>
      </c>
      <c r="M30" s="1">
        <f t="shared" si="55"/>
        <v>1.3841481572160801</v>
      </c>
      <c r="N30" s="1">
        <f t="shared" si="55"/>
        <v>2.1158940196039939</v>
      </c>
      <c r="O30" s="1">
        <f t="shared" si="55"/>
        <v>3.1408960084272257</v>
      </c>
      <c r="P30" s="1">
        <f t="shared" si="55"/>
        <v>3.8991187509262422</v>
      </c>
      <c r="Q30" s="1"/>
      <c r="R30" s="107"/>
      <c r="S30" t="str">
        <f t="shared" si="2"/>
        <v>Beta - 84</v>
      </c>
      <c r="T30" s="1">
        <f>MIN(DEGREES(ACOS((-TAN($B2*PI()/180))*TAN(E6*PI()/180))),DEGREES(ACOS((-TAN(($B2-$B39)*PI()/180))*TAN(E6*PI()/180))))</f>
        <v>64.357071680080139</v>
      </c>
      <c r="U30" s="1">
        <f t="shared" ref="U30:AE30" si="56">MIN(DEGREES(ACOS((-TAN($B2*PI()/180))*TAN(F6*PI()/180))),DEGREES(ACOS((-TAN(($B2-$B39)*PI()/180))*TAN(F6*PI()/180))))</f>
        <v>74.902424284262636</v>
      </c>
      <c r="V30" s="1">
        <f t="shared" si="56"/>
        <v>87.259767273219694</v>
      </c>
      <c r="W30" s="1">
        <f t="shared" si="56"/>
        <v>83.220007838820706</v>
      </c>
      <c r="X30" s="1">
        <f t="shared" si="56"/>
        <v>75.979753805401742</v>
      </c>
      <c r="Y30" s="1">
        <f t="shared" si="56"/>
        <v>72.333433046349043</v>
      </c>
      <c r="Z30" s="1">
        <f t="shared" si="56"/>
        <v>73.982873623545316</v>
      </c>
      <c r="AA30" s="1">
        <f t="shared" si="56"/>
        <v>80.192483346436219</v>
      </c>
      <c r="AB30" s="1">
        <f t="shared" si="56"/>
        <v>88.420638990719965</v>
      </c>
      <c r="AC30" s="1">
        <f t="shared" si="56"/>
        <v>78.959709277416707</v>
      </c>
      <c r="AD30" s="1">
        <f t="shared" si="56"/>
        <v>67.174154403625039</v>
      </c>
      <c r="AE30" s="1">
        <f t="shared" si="56"/>
        <v>61.198024919238009</v>
      </c>
    </row>
    <row r="31" spans="1:31" x14ac:dyDescent="0.25">
      <c r="A31" s="107"/>
      <c r="B31">
        <f t="shared" si="24"/>
        <v>60</v>
      </c>
      <c r="D31" s="6" t="str">
        <f t="shared" si="19"/>
        <v>RbBar at Beta = 60</v>
      </c>
      <c r="E31" s="1">
        <f>(((COS(($B2-$B31)*PI()/180)*COS(E6*PI()/180)*SIN(T22*PI()/180))+((PI()/180)*T22*SIN(($B2-$B31)*PI()/180)*SIN(E6*PI()/180)))/((COS($B2*PI()/180)*COS(E6*PI()/180)*SIN(E7*PI()/180))+((PI()/180)*E7*SIN($B2*PI()/180)*SIN(E6*PI()/180))))</f>
        <v>3.523011862334152</v>
      </c>
      <c r="F31" s="1">
        <f t="shared" ref="F31:P31" si="57">(((COS(($B2-$B31)*PI()/180)*COS(F6*PI()/180)*SIN(U22*PI()/180))+((PI()/180)*U22*SIN(($B2-$B31)*PI()/180)*SIN(F6*PI()/180)))/((COS($B2*PI()/180)*COS(F6*PI()/180)*SIN(F7*PI()/180))+((PI()/180)*F7*SIN($B2*PI()/180)*SIN(F6*PI()/180))))</f>
        <v>2.431535462830503</v>
      </c>
      <c r="G31" s="1">
        <f t="shared" si="57"/>
        <v>1.6178205418689497</v>
      </c>
      <c r="H31" s="1">
        <f t="shared" si="57"/>
        <v>1.0691129503164087</v>
      </c>
      <c r="I31" s="1">
        <f t="shared" si="57"/>
        <v>0.78780688137179078</v>
      </c>
      <c r="J31" s="1">
        <f t="shared" si="57"/>
        <v>0.68476795038024252</v>
      </c>
      <c r="K31" s="1">
        <f t="shared" si="57"/>
        <v>0.7288431249295263</v>
      </c>
      <c r="L31" s="1">
        <f t="shared" si="57"/>
        <v>0.93653224602449525</v>
      </c>
      <c r="M31" s="1">
        <f t="shared" si="57"/>
        <v>1.3669660434996089</v>
      </c>
      <c r="N31" s="1">
        <f t="shared" si="57"/>
        <v>2.1225044546519984</v>
      </c>
      <c r="O31" s="1">
        <f t="shared" si="57"/>
        <v>3.1809388330338768</v>
      </c>
      <c r="P31" s="1">
        <f t="shared" si="57"/>
        <v>3.9638924525222694</v>
      </c>
      <c r="Q31" s="1"/>
      <c r="R31" s="107"/>
      <c r="S31" t="str">
        <f t="shared" si="2"/>
        <v>Beta - 87</v>
      </c>
      <c r="T31" s="1">
        <f>MIN(DEGREES(ACOS((-TAN($B2*PI()/180))*TAN(E6*PI()/180))),DEGREES(ACOS((-TAN(($B2-$B40)*PI()/180))*TAN(E6*PI()/180))))</f>
        <v>64.357071680080139</v>
      </c>
      <c r="U31" s="1">
        <f t="shared" ref="U31:AE31" si="58">MIN(DEGREES(ACOS((-TAN($B2*PI()/180))*TAN(F6*PI()/180))),DEGREES(ACOS((-TAN(($B2-$B40)*PI()/180))*TAN(F6*PI()/180))))</f>
        <v>74.902424284262636</v>
      </c>
      <c r="V31" s="1">
        <f t="shared" si="58"/>
        <v>87.259767273219694</v>
      </c>
      <c r="W31" s="1">
        <f t="shared" si="58"/>
        <v>82.434477383439273</v>
      </c>
      <c r="X31" s="1">
        <f t="shared" si="58"/>
        <v>74.325094367875536</v>
      </c>
      <c r="Y31" s="1">
        <f t="shared" si="58"/>
        <v>70.217890729955172</v>
      </c>
      <c r="Z31" s="1">
        <f t="shared" si="58"/>
        <v>72.078297111403486</v>
      </c>
      <c r="AA31" s="1">
        <f t="shared" si="58"/>
        <v>79.049234363473118</v>
      </c>
      <c r="AB31" s="1">
        <f t="shared" si="58"/>
        <v>88.238608741809088</v>
      </c>
      <c r="AC31" s="1">
        <f t="shared" si="58"/>
        <v>78.959709277416707</v>
      </c>
      <c r="AD31" s="1">
        <f t="shared" si="58"/>
        <v>67.174154403625039</v>
      </c>
      <c r="AE31" s="1">
        <f t="shared" si="58"/>
        <v>61.198024919238009</v>
      </c>
    </row>
    <row r="32" spans="1:31" x14ac:dyDescent="0.25">
      <c r="A32" s="107"/>
      <c r="B32">
        <f t="shared" si="24"/>
        <v>63</v>
      </c>
      <c r="D32" s="6" t="str">
        <f t="shared" si="19"/>
        <v>RbBar at Beta = 63</v>
      </c>
      <c r="E32" s="1">
        <f>(((COS(($B2-$B32)*PI()/180)*COS(E6*PI()/180)*SIN(T23*PI()/180))+((PI()/180)*T23*SIN(($B2-$B32)*PI()/180)*SIN(E6*PI()/180)))/((COS($B2*PI()/180)*COS(E6*PI()/180)*SIN(E7*PI()/180))+((PI()/180)*E7*SIN($B2*PI()/180)*SIN(E6*PI()/180))))</f>
        <v>3.564203295193523</v>
      </c>
      <c r="F32" s="1">
        <f t="shared" ref="F32:P32" si="59">(((COS(($B2-$B32)*PI()/180)*COS(F6*PI()/180)*SIN(U23*PI()/180))+((PI()/180)*U23*SIN(($B2-$B32)*PI()/180)*SIN(F6*PI()/180)))/((COS($B2*PI()/180)*COS(F6*PI()/180)*SIN(F7*PI()/180))+((PI()/180)*F7*SIN($B2*PI()/180)*SIN(F6*PI()/180))))</f>
        <v>2.4412424805273432</v>
      </c>
      <c r="G32" s="1">
        <f t="shared" si="59"/>
        <v>1.604055372345663</v>
      </c>
      <c r="H32" s="1">
        <f t="shared" si="59"/>
        <v>1.0406967572063921</v>
      </c>
      <c r="I32" s="1">
        <f t="shared" si="59"/>
        <v>0.75399813718767528</v>
      </c>
      <c r="J32" s="1">
        <f t="shared" si="59"/>
        <v>0.64959607430051525</v>
      </c>
      <c r="K32" s="1">
        <f t="shared" si="59"/>
        <v>0.69420370493176586</v>
      </c>
      <c r="L32" s="1">
        <f t="shared" si="59"/>
        <v>0.90531892493387822</v>
      </c>
      <c r="M32" s="1">
        <f t="shared" si="59"/>
        <v>1.3460433365617617</v>
      </c>
      <c r="N32" s="1">
        <f t="shared" si="59"/>
        <v>2.1232972525232774</v>
      </c>
      <c r="O32" s="1">
        <f t="shared" si="59"/>
        <v>3.2122629254035302</v>
      </c>
      <c r="P32" s="1">
        <f t="shared" si="59"/>
        <v>4.0178014004327185</v>
      </c>
      <c r="Q32" s="1"/>
      <c r="R32" s="107"/>
      <c r="S32" t="str">
        <f>$A$12&amp;TEXT(B41," - ")&amp;B41</f>
        <v>Beta - 90</v>
      </c>
      <c r="T32" s="1">
        <f>MIN(DEGREES(ACOS((-TAN($B2*PI()/180))*TAN(E6*PI()/180))),DEGREES(ACOS((-TAN(($B2-$B41)*PI()/180))*TAN(E6*PI()/180))))</f>
        <v>64.357071680080139</v>
      </c>
      <c r="U32" s="1">
        <f t="shared" ref="U32:AE32" si="60">MIN(DEGREES(ACOS((-TAN($B2*PI()/180))*TAN(F6*PI()/180))),DEGREES(ACOS((-TAN(($B2-$B41)*PI()/180))*TAN(F6*PI()/180))))</f>
        <v>74.902424284262636</v>
      </c>
      <c r="V32" s="1">
        <f t="shared" si="60"/>
        <v>87.259767273219694</v>
      </c>
      <c r="W32" s="1">
        <f t="shared" si="60"/>
        <v>81.579102409412926</v>
      </c>
      <c r="X32" s="1">
        <f t="shared" si="60"/>
        <v>72.511352571559854</v>
      </c>
      <c r="Y32" s="1">
        <f t="shared" si="60"/>
        <v>67.886189265047051</v>
      </c>
      <c r="Z32" s="1">
        <f t="shared" si="60"/>
        <v>69.984751579933629</v>
      </c>
      <c r="AA32" s="1">
        <f t="shared" si="60"/>
        <v>77.801664952209535</v>
      </c>
      <c r="AB32" s="1">
        <f t="shared" si="60"/>
        <v>88.040751051581978</v>
      </c>
      <c r="AC32" s="1">
        <f t="shared" si="60"/>
        <v>78.959709277416707</v>
      </c>
      <c r="AD32" s="1">
        <f t="shared" si="60"/>
        <v>67.174154403625039</v>
      </c>
      <c r="AE32" s="1">
        <f t="shared" si="60"/>
        <v>61.198024919238009</v>
      </c>
    </row>
    <row r="33" spans="1:31" x14ac:dyDescent="0.25">
      <c r="A33" s="107"/>
      <c r="B33">
        <f t="shared" si="24"/>
        <v>66</v>
      </c>
      <c r="D33" s="6" t="str">
        <f t="shared" si="19"/>
        <v>RbBar at Beta = 66</v>
      </c>
      <c r="E33" s="1">
        <f>(((COS(($B2-$B33)*PI()/180)*COS(E6*PI()/180)*SIN(T24*PI()/180))+((PI()/180)*T24*SIN(($B2-$B33)*PI()/180)*SIN(E6*PI()/180)))/((COS($B2*PI()/180)*COS(E6*PI()/180)*SIN(E7*PI()/180))+((PI()/180)*E7*SIN($B2*PI()/180)*SIN(E6*PI()/180))))</f>
        <v>3.5956254945655028</v>
      </c>
      <c r="F33" s="1">
        <f t="shared" ref="F33:P33" si="61">(((COS(($B2-$B33)*PI()/180)*COS(F6*PI()/180)*SIN(U24*PI()/180))+((PI()/180)*U24*SIN(($B2-$B33)*PI()/180)*SIN(F6*PI()/180)))/((COS($B2*PI()/180)*COS(F6*PI()/180)*SIN(F7*PI()/180))+((PI()/180)*F7*SIN($B2*PI()/180)*SIN(F6*PI()/180))))</f>
        <v>2.4442582222737421</v>
      </c>
      <c r="G33" s="1">
        <f t="shared" si="61"/>
        <v>1.5858935985432989</v>
      </c>
      <c r="H33" s="1">
        <f t="shared" si="61"/>
        <v>1.009523771741248</v>
      </c>
      <c r="I33" s="1">
        <f t="shared" si="61"/>
        <v>0.71843842358884558</v>
      </c>
      <c r="J33" s="1">
        <f t="shared" si="61"/>
        <v>0.61308816771253538</v>
      </c>
      <c r="K33" s="1">
        <f t="shared" si="61"/>
        <v>0.65804699710686598</v>
      </c>
      <c r="L33" s="1">
        <f t="shared" si="61"/>
        <v>0.87180315470178305</v>
      </c>
      <c r="M33" s="1">
        <f t="shared" si="61"/>
        <v>1.3214376114890274</v>
      </c>
      <c r="N33" s="1">
        <f t="shared" si="61"/>
        <v>2.1182702402139726</v>
      </c>
      <c r="O33" s="1">
        <f t="shared" si="61"/>
        <v>3.23478242837631</v>
      </c>
      <c r="P33" s="1">
        <f t="shared" si="61"/>
        <v>4.0606978339785336</v>
      </c>
      <c r="Q33" s="1"/>
      <c r="R33" s="74" t="s">
        <v>88</v>
      </c>
      <c r="S33" s="75" t="s">
        <v>90</v>
      </c>
      <c r="T33" s="74">
        <f>MIN(DEGREES(ACOS((-TAN($B2*PI()/180))*TAN(E6*PI()/180))),DEGREES(ACOS((-TAN(($B2-$B42)*PI()/180))*TAN(E6*PI()/180))))</f>
        <v>64.357071680080139</v>
      </c>
      <c r="U33" s="74">
        <f t="shared" ref="U33:AE33" si="62">MIN(DEGREES(ACOS((-TAN($B2*PI()/180))*TAN(F6*PI()/180))),DEGREES(ACOS((-TAN(($B2-$B42)*PI()/180))*TAN(F6*PI()/180))))</f>
        <v>74.902424284262636</v>
      </c>
      <c r="V33" s="74">
        <f t="shared" si="62"/>
        <v>87.259767273219694</v>
      </c>
      <c r="W33" s="74">
        <f t="shared" si="62"/>
        <v>100.82155171216846</v>
      </c>
      <c r="X33" s="74">
        <f t="shared" si="62"/>
        <v>112.66128879051159</v>
      </c>
      <c r="Y33" s="74">
        <f t="shared" si="62"/>
        <v>118.85737576285086</v>
      </c>
      <c r="Z33" s="74">
        <f t="shared" si="62"/>
        <v>116.02818895494727</v>
      </c>
      <c r="AA33" s="74">
        <f t="shared" si="62"/>
        <v>105.71759683820065</v>
      </c>
      <c r="AB33" s="74">
        <f t="shared" si="62"/>
        <v>92.512203454174994</v>
      </c>
      <c r="AC33" s="74">
        <f t="shared" si="62"/>
        <v>78.959709277416707</v>
      </c>
      <c r="AD33" s="74">
        <f t="shared" si="62"/>
        <v>67.174154403625039</v>
      </c>
      <c r="AE33" s="74">
        <f t="shared" si="62"/>
        <v>61.198024919238009</v>
      </c>
    </row>
    <row r="34" spans="1:31" x14ac:dyDescent="0.25">
      <c r="A34" s="107"/>
      <c r="B34">
        <f t="shared" si="24"/>
        <v>69</v>
      </c>
      <c r="D34" s="6" t="str">
        <f t="shared" si="19"/>
        <v>RbBar at Beta = 69</v>
      </c>
      <c r="E34" s="1">
        <f>(((COS(($B2-$B34)*PI()/180)*COS(E6*PI()/180)*SIN(T25*PI()/180))+((PI()/180)*T25*SIN(($B2-$B34)*PI()/180)*SIN(E6*PI()/180)))/((COS($B2*PI()/180)*COS(E6*PI()/180)*SIN(E7*PI()/180))+((PI()/180)*E7*SIN($B2*PI()/180)*SIN(E6*PI()/180))))</f>
        <v>3.6171923343857411</v>
      </c>
      <c r="F34" s="1">
        <f t="shared" ref="F34:P34" si="63">(((COS(($B2-$B34)*PI()/180)*COS(F6*PI()/180)*SIN(U25*PI()/180))+((PI()/180)*U25*SIN(($B2-$B34)*PI()/180)*SIN(F6*PI()/180)))/((COS($B2*PI()/180)*COS(F6*PI()/180)*SIN(F7*PI()/180))+((PI()/180)*F7*SIN($B2*PI()/180)*SIN(F6*PI()/180))))</f>
        <v>2.4405744221311947</v>
      </c>
      <c r="G34" s="1">
        <f t="shared" si="63"/>
        <v>1.5633850006214398</v>
      </c>
      <c r="H34" s="1">
        <f t="shared" si="63"/>
        <v>0.97568388539670781</v>
      </c>
      <c r="I34" s="1">
        <f t="shared" si="63"/>
        <v>0.68124036518828923</v>
      </c>
      <c r="J34" s="1">
        <f t="shared" si="63"/>
        <v>0.57536615087956833</v>
      </c>
      <c r="K34" s="1">
        <f t="shared" si="63"/>
        <v>0.62049084508391583</v>
      </c>
      <c r="L34" s="1">
        <f t="shared" si="63"/>
        <v>0.83608521149391057</v>
      </c>
      <c r="M34" s="1">
        <f t="shared" si="63"/>
        <v>1.2932166052446363</v>
      </c>
      <c r="N34" s="1">
        <f t="shared" si="63"/>
        <v>2.1074371964154004</v>
      </c>
      <c r="O34" s="1">
        <f t="shared" si="63"/>
        <v>3.2484356175598799</v>
      </c>
      <c r="P34" s="1">
        <f t="shared" si="63"/>
        <v>4.0924641770170584</v>
      </c>
      <c r="Q34" s="1"/>
      <c r="R34" s="1"/>
    </row>
    <row r="35" spans="1:31" x14ac:dyDescent="0.25">
      <c r="A35" s="107"/>
      <c r="B35">
        <f t="shared" si="24"/>
        <v>72</v>
      </c>
      <c r="D35" s="6" t="str">
        <f t="shared" si="19"/>
        <v>RbBar at Beta = 72</v>
      </c>
      <c r="E35" s="1">
        <f>(((COS(($B2-$B35)*PI()/180)*COS(E6*PI()/180)*SIN(T26*PI()/180))+((PI()/180)*T26*SIN(($B2-$B35)*PI()/180)*SIN(E6*PI()/180)))/((COS($B2*PI()/180)*COS(E6*PI()/180)*SIN(E7*PI()/180))+((PI()/180)*E7*SIN($B2*PI()/180)*SIN(E6*PI()/180))))</f>
        <v>3.6288447014453853</v>
      </c>
      <c r="F35" s="1">
        <f t="shared" ref="F35:P35" si="64">(((COS(($B2-$B35)*PI()/180)*COS(F6*PI()/180)*SIN(U26*PI()/180))+((PI()/180)*U26*SIN(($B2-$B35)*PI()/180)*SIN(F6*PI()/180)))/((COS($B2*PI()/180)*COS(F6*PI()/180)*SIN(F7*PI()/180))+((PI()/180)*F7*SIN($B2*PI()/180)*SIN(F6*PI()/180))))</f>
        <v>2.4302011771398337</v>
      </c>
      <c r="G35" s="1">
        <f t="shared" si="64"/>
        <v>1.5365912730824365</v>
      </c>
      <c r="H35" s="1">
        <f t="shared" si="64"/>
        <v>0.93927547194989003</v>
      </c>
      <c r="I35" s="1">
        <f t="shared" si="64"/>
        <v>0.64252512704692522</v>
      </c>
      <c r="J35" s="1">
        <f t="shared" si="64"/>
        <v>0.53656117321752173</v>
      </c>
      <c r="K35" s="1">
        <f t="shared" si="64"/>
        <v>0.58166196291458361</v>
      </c>
      <c r="L35" s="1">
        <f t="shared" si="64"/>
        <v>0.79827363458960621</v>
      </c>
      <c r="M35" s="1">
        <f t="shared" si="64"/>
        <v>1.2614580413194341</v>
      </c>
      <c r="N35" s="1">
        <f t="shared" si="64"/>
        <v>2.0908278137476168</v>
      </c>
      <c r="O35" s="1">
        <f t="shared" si="64"/>
        <v>3.25318507051171</v>
      </c>
      <c r="P35" s="1">
        <f t="shared" si="64"/>
        <v>4.1130133602100774</v>
      </c>
      <c r="Q35" s="1"/>
      <c r="R35" s="1"/>
    </row>
    <row r="36" spans="1:31" x14ac:dyDescent="0.25">
      <c r="A36" s="107"/>
      <c r="B36">
        <f t="shared" si="24"/>
        <v>75</v>
      </c>
      <c r="D36" s="6" t="str">
        <f t="shared" si="19"/>
        <v>RbBar at Beta = 75</v>
      </c>
      <c r="E36" s="1">
        <f>(((COS(($B2-$B36)*PI()/180)*COS(E6*PI()/180)*SIN(T27*PI()/180))+((PI()/180)*T27*SIN(($B2-$B36)*PI()/180)*SIN(E6*PI()/180)))/((COS($B2*PI()/180)*COS(E6*PI()/180)*SIN(E7*PI()/180))+((PI()/180)*E7*SIN($B2*PI()/180)*SIN(E6*PI()/180))))</f>
        <v>3.6305506574162698</v>
      </c>
      <c r="F36" s="1">
        <f t="shared" ref="F36:P36" si="65">(((COS(($B2-$B36)*PI()/180)*COS(F6*PI()/180)*SIN(U27*PI()/180))+((PI()/180)*U27*SIN(($B2-$B36)*PI()/180)*SIN(F6*PI()/180)))/((COS($B2*PI()/180)*COS(F6*PI()/180)*SIN(F7*PI()/180))+((PI()/180)*F7*SIN($B2*PI()/180)*SIN(F6*PI()/180))))</f>
        <v>2.4131669196431456</v>
      </c>
      <c r="G36" s="1">
        <f t="shared" si="65"/>
        <v>1.5055858556710642</v>
      </c>
      <c r="H36" s="1">
        <f t="shared" si="65"/>
        <v>0.90040532958016239</v>
      </c>
      <c r="I36" s="1">
        <f t="shared" si="65"/>
        <v>0.60242284753672726</v>
      </c>
      <c r="J36" s="1">
        <f t="shared" si="65"/>
        <v>0.49681440769465535</v>
      </c>
      <c r="K36" s="1">
        <f t="shared" si="65"/>
        <v>0.54169655595444166</v>
      </c>
      <c r="L36" s="1">
        <f t="shared" si="65"/>
        <v>0.75848533712608768</v>
      </c>
      <c r="M36" s="1">
        <f t="shared" si="65"/>
        <v>1.2262494304760299</v>
      </c>
      <c r="N36" s="1">
        <f t="shared" si="65"/>
        <v>2.0684876173740108</v>
      </c>
      <c r="O36" s="1">
        <f t="shared" si="65"/>
        <v>3.2490177693113886</v>
      </c>
      <c r="P36" s="1">
        <f t="shared" si="65"/>
        <v>4.1222890596748138</v>
      </c>
      <c r="Q36" s="1"/>
      <c r="R36" s="1"/>
    </row>
    <row r="37" spans="1:31" x14ac:dyDescent="0.25">
      <c r="A37" s="107"/>
      <c r="B37">
        <f t="shared" si="24"/>
        <v>78</v>
      </c>
      <c r="D37" s="6" t="str">
        <f t="shared" si="19"/>
        <v>RbBar at Beta = 78</v>
      </c>
      <c r="E37" s="1">
        <f>(((COS(($B2-$B37)*PI()/180)*COS(E6*PI()/180)*SIN(T28*PI()/180))+((PI()/180)*T28*SIN(($B2-$B37)*PI()/180)*SIN(E6*PI()/180)))/((COS($B2*PI()/180)*COS(E6*PI()/180)*SIN(E7*PI()/180))+((PI()/180)*E7*SIN($B2*PI()/180)*SIN(E6*PI()/180))))</f>
        <v>3.6223055263916586</v>
      </c>
      <c r="F37" s="1">
        <f t="shared" ref="F37:P37" si="66">(((COS(($B2-$B37)*PI()/180)*COS(F6*PI()/180)*SIN(U28*PI()/180))+((PI()/180)*U28*SIN(($B2-$B37)*PI()/180)*SIN(F6*PI()/180)))/((COS($B2*PI()/180)*COS(F6*PI()/180)*SIN(F7*PI()/180))+((PI()/180)*F7*SIN($B2*PI()/180)*SIN(F6*PI()/180))))</f>
        <v>2.3895183393568908</v>
      </c>
      <c r="G37" s="1">
        <f t="shared" si="66"/>
        <v>1.4704537320812867</v>
      </c>
      <c r="H37" s="1">
        <f t="shared" si="66"/>
        <v>0.85918867030099022</v>
      </c>
      <c r="I37" s="1">
        <f t="shared" si="66"/>
        <v>0.56107331025187157</v>
      </c>
      <c r="J37" s="1">
        <f t="shared" si="66"/>
        <v>0.45627822712080218</v>
      </c>
      <c r="K37" s="1">
        <f t="shared" si="66"/>
        <v>0.50074125441639306</v>
      </c>
      <c r="L37" s="1">
        <f t="shared" si="66"/>
        <v>0.71684583124807488</v>
      </c>
      <c r="M37" s="1">
        <f t="shared" si="66"/>
        <v>1.1876878492050142</v>
      </c>
      <c r="N37" s="1">
        <f t="shared" si="66"/>
        <v>2.0404778402199937</v>
      </c>
      <c r="O37" s="1">
        <f t="shared" si="66"/>
        <v>3.2359451362418414</v>
      </c>
      <c r="P37" s="1">
        <f t="shared" si="66"/>
        <v>4.1202658513637793</v>
      </c>
      <c r="Q37" s="1"/>
      <c r="R37" s="1"/>
    </row>
    <row r="38" spans="1:31" x14ac:dyDescent="0.25">
      <c r="A38" s="107"/>
      <c r="B38">
        <f t="shared" si="24"/>
        <v>81</v>
      </c>
      <c r="D38" s="6" t="str">
        <f t="shared" si="19"/>
        <v>RbBar at Beta = 81</v>
      </c>
      <c r="E38" s="1">
        <f>(((COS(($B2-$B38)*PI()/180)*COS(E6*PI()/180)*SIN(T29*PI()/180))+((PI()/180)*T29*SIN(($B2-$B38)*PI()/180)*SIN(E6*PI()/180)))/((COS($B2*PI()/180)*COS(E6*PI()/180)*SIN(E7*PI()/180))+((PI()/180)*E7*SIN($B2*PI()/180)*SIN(E6*PI()/180))))</f>
        <v>3.6041319077025782</v>
      </c>
      <c r="F38" s="1">
        <f t="shared" ref="F38:P38" si="67">(((COS(($B2-$B38)*PI()/180)*COS(F6*PI()/180)*SIN(U29*PI()/180))+((PI()/180)*U29*SIN(($B2-$B38)*PI()/180)*SIN(F6*PI()/180)))/((COS($B2*PI()/180)*COS(F6*PI()/180)*SIN(F7*PI()/180))+((PI()/180)*F7*SIN($B2*PI()/180)*SIN(F6*PI()/180))))</f>
        <v>2.3593202553958426</v>
      </c>
      <c r="G38" s="1">
        <f t="shared" si="67"/>
        <v>1.4312911970218607</v>
      </c>
      <c r="H38" s="1">
        <f t="shared" si="67"/>
        <v>0.81574918103077099</v>
      </c>
      <c r="I38" s="1">
        <f t="shared" si="67"/>
        <v>0.51862694981287116</v>
      </c>
      <c r="J38" s="1">
        <f t="shared" si="67"/>
        <v>0.41511791693304695</v>
      </c>
      <c r="K38" s="1">
        <f t="shared" si="67"/>
        <v>0.45895448448478171</v>
      </c>
      <c r="L38" s="1">
        <f t="shared" si="67"/>
        <v>0.67348961536202068</v>
      </c>
      <c r="M38" s="1">
        <f t="shared" si="67"/>
        <v>1.1458796980389498</v>
      </c>
      <c r="N38" s="1">
        <f t="shared" si="67"/>
        <v>2.0068752551378095</v>
      </c>
      <c r="O38" s="1">
        <f t="shared" si="67"/>
        <v>3.2140030024816437</v>
      </c>
      <c r="P38" s="1">
        <f t="shared" si="67"/>
        <v>4.1069492807503254</v>
      </c>
      <c r="Q38" s="1"/>
      <c r="R38" s="1"/>
    </row>
    <row r="39" spans="1:31" x14ac:dyDescent="0.25">
      <c r="A39" s="107"/>
      <c r="B39">
        <f t="shared" si="24"/>
        <v>84</v>
      </c>
      <c r="D39" s="6" t="str">
        <f t="shared" si="19"/>
        <v>RbBar at Beta = 84</v>
      </c>
      <c r="E39" s="1">
        <f>(((COS(($B2-$B39)*PI()/180)*COS(E6*PI()/180)*SIN(T30*PI()/180))+((PI()/180)*T30*SIN(($B2-$B39)*PI()/180)*SIN(E6*PI()/180)))/((COS($B2*PI()/180)*COS(E6*PI()/180)*SIN(E7*PI()/180))+((PI()/180)*E7*SIN($B2*PI()/180)*SIN(E6*PI()/180))))</f>
        <v>3.5760796139746218</v>
      </c>
      <c r="F39" s="1">
        <f t="shared" ref="F39:P39" si="68">(((COS(($B2-$B39)*PI()/180)*COS(F6*PI()/180)*SIN(U30*PI()/180))+((PI()/180)*U30*SIN(($B2-$B39)*PI()/180)*SIN(F6*PI()/180)))/((COS($B2*PI()/180)*COS(F6*PI()/180)*SIN(F7*PI()/180))+((PI()/180)*F7*SIN($B2*PI()/180)*SIN(F6*PI()/180))))</f>
        <v>2.3226554386090945</v>
      </c>
      <c r="G39" s="1">
        <f t="shared" si="68"/>
        <v>1.3882055922792287</v>
      </c>
      <c r="H39" s="1">
        <f t="shared" si="68"/>
        <v>0.77021919149678209</v>
      </c>
      <c r="I39" s="1">
        <f t="shared" si="68"/>
        <v>0.47524633267640998</v>
      </c>
      <c r="J39" s="1">
        <f t="shared" si="68"/>
        <v>0.37351415911223207</v>
      </c>
      <c r="K39" s="1">
        <f t="shared" si="68"/>
        <v>0.4165084646947434</v>
      </c>
      <c r="L39" s="1">
        <f t="shared" si="68"/>
        <v>0.62856079327835102</v>
      </c>
      <c r="M39" s="1">
        <f t="shared" si="68"/>
        <v>1.1009404426151284</v>
      </c>
      <c r="N39" s="1">
        <f t="shared" si="68"/>
        <v>1.9677719644774814</v>
      </c>
      <c r="O39" s="1">
        <f t="shared" si="68"/>
        <v>3.1832515098942533</v>
      </c>
      <c r="P39" s="1">
        <f t="shared" si="68"/>
        <v>4.0823758476288798</v>
      </c>
      <c r="Q39" s="1"/>
      <c r="R39" s="1"/>
    </row>
    <row r="40" spans="1:31" x14ac:dyDescent="0.25">
      <c r="A40" s="107"/>
      <c r="B40">
        <f t="shared" si="24"/>
        <v>87</v>
      </c>
      <c r="D40" s="6" t="str">
        <f t="shared" si="19"/>
        <v>RbBar at Beta = 87</v>
      </c>
      <c r="E40" s="1">
        <f>(((COS(($B2-$B40)*PI()/180)*COS(E6*PI()/180)*SIN(T31*PI()/180))+((PI()/180)*T31*SIN(($B2-$B40)*PI()/180)*SIN(E6*PI()/180)))/((COS($B2*PI()/180)*COS(E6*PI()/180)*SIN(E7*PI()/180))+((PI()/180)*E7*SIN($B2*PI()/180)*SIN(E6*PI()/180))))</f>
        <v>3.5382255345950075</v>
      </c>
      <c r="F40" s="1">
        <f t="shared" ref="F40:P40" si="69">(((COS(($B2-$B40)*PI()/180)*COS(F6*PI()/180)*SIN(U31*PI()/180))+((PI()/180)*U31*SIN(($B2-$B40)*PI()/180)*SIN(F6*PI()/180)))/((COS($B2*PI()/180)*COS(F6*PI()/180)*SIN(F7*PI()/180))+((PI()/180)*F7*SIN($B2*PI()/180)*SIN(F6*PI()/180))))</f>
        <v>2.2796243847109188</v>
      </c>
      <c r="G40" s="1">
        <f t="shared" si="69"/>
        <v>1.341315012501147</v>
      </c>
      <c r="H40" s="1">
        <f t="shared" si="69"/>
        <v>0.72274000080123002</v>
      </c>
      <c r="I40" s="1">
        <f t="shared" si="69"/>
        <v>0.43110832718415198</v>
      </c>
      <c r="J40" s="1">
        <f t="shared" si="69"/>
        <v>0.33166665206582369</v>
      </c>
      <c r="K40" s="1">
        <f t="shared" si="69"/>
        <v>0.37359211602333064</v>
      </c>
      <c r="L40" s="1">
        <f t="shared" si="69"/>
        <v>0.58221402914447173</v>
      </c>
      <c r="M40" s="1">
        <f t="shared" si="69"/>
        <v>1.0529943414710901</v>
      </c>
      <c r="N40" s="1">
        <f t="shared" si="69"/>
        <v>1.9232751476406724</v>
      </c>
      <c r="O40" s="1">
        <f t="shared" si="69"/>
        <v>3.1437749461833429</v>
      </c>
      <c r="P40" s="1">
        <f t="shared" si="69"/>
        <v>4.0466129060715499</v>
      </c>
      <c r="Q40" s="1"/>
      <c r="R40" s="1"/>
    </row>
    <row r="41" spans="1:31" x14ac:dyDescent="0.25">
      <c r="A41" s="107"/>
      <c r="B41">
        <f t="shared" si="24"/>
        <v>90</v>
      </c>
      <c r="D41" s="6" t="str">
        <f t="shared" si="19"/>
        <v>RbBar at Beta = 90</v>
      </c>
      <c r="E41" s="1">
        <f>(((COS(($B2-$B41)*PI()/180)*COS(E6*PI()/180)*SIN(T32*PI()/180))+((PI()/180)*T32*SIN(($B2-$B41)*PI()/180)*SIN(E6*PI()/180)))/((COS($B2*PI()/180)*COS(E6*PI()/180)*SIN(E7*PI()/180))+((PI()/180)*E7*SIN($B2*PI()/180)*SIN(E6*PI()/180))))</f>
        <v>3.4906734249641094</v>
      </c>
      <c r="F41" s="1">
        <f t="shared" ref="F41:P41" si="70">(((COS(($B2-$B41)*PI()/180)*COS(F6*PI()/180)*SIN(U32*PI()/180))+((PI()/180)*U32*SIN(($B2-$B41)*PI()/180)*SIN(F6*PI()/180)))/((COS($B2*PI()/180)*COS(F6*PI()/180)*SIN(F7*PI()/180))+((PI()/180)*F7*SIN($B2*PI()/180)*SIN(F6*PI()/180))))</f>
        <v>2.2303450388289985</v>
      </c>
      <c r="G41" s="1">
        <f t="shared" si="70"/>
        <v>1.2907479815074632</v>
      </c>
      <c r="H41" s="1">
        <f t="shared" si="70"/>
        <v>0.67346244053430326</v>
      </c>
      <c r="I41" s="1">
        <f t="shared" si="70"/>
        <v>0.3864072961877924</v>
      </c>
      <c r="J41" s="1">
        <f t="shared" si="70"/>
        <v>0.28979945100031851</v>
      </c>
      <c r="K41" s="1">
        <f t="shared" si="70"/>
        <v>0.33041534116968529</v>
      </c>
      <c r="L41" s="1">
        <f t="shared" si="70"/>
        <v>0.53461599617878319</v>
      </c>
      <c r="M41" s="1">
        <f t="shared" si="70"/>
        <v>1.0021741662147079</v>
      </c>
      <c r="N41" s="1">
        <f t="shared" si="70"/>
        <v>1.8735067673093968</v>
      </c>
      <c r="O41" s="1">
        <f t="shared" si="70"/>
        <v>3.0956815138660603</v>
      </c>
      <c r="P41" s="1">
        <f t="shared" si="70"/>
        <v>3.9997584798152905</v>
      </c>
    </row>
    <row r="42" spans="1:31" x14ac:dyDescent="0.25">
      <c r="A42" s="76" t="s">
        <v>88</v>
      </c>
      <c r="B42" s="76">
        <v>0</v>
      </c>
      <c r="C42" s="76"/>
      <c r="D42" s="76" t="s">
        <v>89</v>
      </c>
      <c r="E42" s="76">
        <f>(((COS(($B2-$B42)*PI()/180)*COS(E6*PI()/180)*SIN(T33*PI()/180))+((PI()/180)*T33*SIN(($B2-$B42)*PI()/180)*SIN(E6*PI()/180)))/((COS($B2*PI()/180)*COS(E6*PI()/180)*SIN(E7*PI()/180))+((PI()/180)*E7*SIN($B2*PI()/180)*SIN(E6*PI()/180))))</f>
        <v>1</v>
      </c>
      <c r="F42" s="76">
        <f t="shared" ref="F42:I42" si="71">(((COS(($B2-$B42)*PI()/180)*COS(F6*PI()/180)*SIN(U33*PI()/180))+((PI()/180)*U33*SIN(($B2-$B42)*PI()/180)*SIN(F6*PI()/180)))/((COS($B2*PI()/180)*COS(F6*PI()/180)*SIN(F7*PI()/180))+((PI()/180)*F7*SIN($B2*PI()/180)*SIN(F6*PI()/180))))</f>
        <v>1</v>
      </c>
      <c r="G42" s="76">
        <f t="shared" si="71"/>
        <v>1</v>
      </c>
      <c r="H42" s="76">
        <f t="shared" si="71"/>
        <v>1</v>
      </c>
      <c r="I42" s="76">
        <f t="shared" si="71"/>
        <v>1</v>
      </c>
      <c r="J42" s="76">
        <f t="shared" ref="J42" si="72">(((COS(($B2-$B42)*PI()/180)*COS(J6*PI()/180)*SIN(Y33*PI()/180))+((PI()/180)*Y33*SIN(($B2-$B42)*PI()/180)*SIN(J6*PI()/180)))/((COS($B2*PI()/180)*COS(J6*PI()/180)*SIN(J7*PI()/180))+((PI()/180)*J7*SIN($B2*PI()/180)*SIN(J6*PI()/180))))</f>
        <v>1</v>
      </c>
      <c r="K42" s="76">
        <f t="shared" ref="K42" si="73">(((COS(($B2-$B42)*PI()/180)*COS(K6*PI()/180)*SIN(Z33*PI()/180))+((PI()/180)*Z33*SIN(($B2-$B42)*PI()/180)*SIN(K6*PI()/180)))/((COS($B2*PI()/180)*COS(K6*PI()/180)*SIN(K7*PI()/180))+((PI()/180)*K7*SIN($B2*PI()/180)*SIN(K6*PI()/180))))</f>
        <v>1</v>
      </c>
      <c r="L42" s="76">
        <f t="shared" ref="L42:M42" si="74">(((COS(($B2-$B42)*PI()/180)*COS(L6*PI()/180)*SIN(AA33*PI()/180))+((PI()/180)*AA33*SIN(($B2-$B42)*PI()/180)*SIN(L6*PI()/180)))/((COS($B2*PI()/180)*COS(L6*PI()/180)*SIN(L7*PI()/180))+((PI()/180)*L7*SIN($B2*PI()/180)*SIN(L6*PI()/180))))</f>
        <v>1</v>
      </c>
      <c r="M42" s="76">
        <f t="shared" si="74"/>
        <v>1</v>
      </c>
      <c r="N42" s="76">
        <f t="shared" ref="N42:P42" si="75">(((COS(($B2-$B42)*PI()/180)*COS(N6*PI()/180)*SIN(AC32*PI()/180))+((PI()/180)*AC32*SIN(($B2-$B42)*PI()/180)*SIN(N6*PI()/180)))/((COS($B2*PI()/180)*COS(N6*PI()/180)*SIN(N7*PI()/180))+((PI()/180)*N7*SIN($B2*PI()/180)*SIN(N6*PI()/180))))</f>
        <v>1</v>
      </c>
      <c r="O42" s="76">
        <f t="shared" si="75"/>
        <v>1</v>
      </c>
      <c r="P42" s="76">
        <f t="shared" si="75"/>
        <v>1</v>
      </c>
    </row>
    <row r="43" spans="1:31" x14ac:dyDescent="0.25">
      <c r="D43" s="7" t="str">
        <f>"HTBar at Beta = "&amp;B12</f>
        <v>HTBar at Beta = 3</v>
      </c>
      <c r="E43" s="1">
        <f>(E3*(1-E10)*E12)+(E11*((1+COS($B12*PI()/180))/2))+(E3*E4*((1-COS($B12*PI()/180))/2))</f>
        <v>5.7743719090206742</v>
      </c>
      <c r="F43" s="1">
        <f t="shared" ref="F43:P43" si="76">(F3*(1-F10)*F12)+(F11*((1+COS($B12*PI()/180))/2))+(F3*F4*((1-COS($B12*PI()/180))/2))</f>
        <v>9.0954359736106287</v>
      </c>
      <c r="G43" s="1">
        <f t="shared" si="76"/>
        <v>13.378837588859813</v>
      </c>
      <c r="H43" s="1">
        <f>(H3*(1-H10)*H12)+(H11*((1+COS($B12*PI()/180))/2))+(H3*H4*((1-COS($B12*PI()/180))/2))</f>
        <v>17.050661062703963</v>
      </c>
      <c r="I43" s="1">
        <f t="shared" si="76"/>
        <v>18.354798826149882</v>
      </c>
      <c r="J43" s="1">
        <f t="shared" si="76"/>
        <v>19.676443772720098</v>
      </c>
      <c r="K43" s="1">
        <f t="shared" si="76"/>
        <v>17.943342253925476</v>
      </c>
      <c r="L43" s="1">
        <f t="shared" si="76"/>
        <v>16.242088656671051</v>
      </c>
      <c r="M43" s="1">
        <f t="shared" si="76"/>
        <v>11.927681727279719</v>
      </c>
      <c r="N43" s="1">
        <f t="shared" si="76"/>
        <v>7.3532410836058695</v>
      </c>
      <c r="O43" s="1">
        <f t="shared" si="76"/>
        <v>5.1113582989098241</v>
      </c>
      <c r="P43" s="1">
        <f t="shared" si="76"/>
        <v>4.4748017737934855</v>
      </c>
      <c r="Q43" s="1"/>
      <c r="R43" s="1"/>
    </row>
    <row r="44" spans="1:31" x14ac:dyDescent="0.25">
      <c r="D44" s="7" t="str">
        <f t="shared" ref="D44:D71" si="77">"HTBar at Beta = "&amp;B13</f>
        <v>HTBar at Beta = 6</v>
      </c>
      <c r="E44" s="1">
        <f>(E3*(1-E10)*E13)+(E11*((1+COS($B13*PI()/180))/2))+(E3*E4*((1-COS($B13*PI()/180))/2))</f>
        <v>6.3537596376389658</v>
      </c>
      <c r="F44" s="1">
        <f t="shared" ref="F44:P44" si="78">(F3*(1-F10)*F13)+(F11*((1+COS($B13*PI()/180))/2))+(F3*F4*((1-COS($B13*PI()/180))/2))</f>
        <v>9.7132286406605317</v>
      </c>
      <c r="G44" s="1">
        <f t="shared" si="78"/>
        <v>13.880977859239174</v>
      </c>
      <c r="H44" s="1">
        <f t="shared" si="78"/>
        <v>17.331981934313262</v>
      </c>
      <c r="I44" s="1">
        <f t="shared" si="78"/>
        <v>18.429786228939985</v>
      </c>
      <c r="J44" s="1">
        <f t="shared" si="78"/>
        <v>19.671855757864375</v>
      </c>
      <c r="K44" s="1">
        <f t="shared" si="78"/>
        <v>17.970050423822737</v>
      </c>
      <c r="L44" s="1">
        <f t="shared" si="78"/>
        <v>16.400056177502407</v>
      </c>
      <c r="M44" s="1">
        <f t="shared" si="78"/>
        <v>12.20415172616857</v>
      </c>
      <c r="N44" s="1">
        <f t="shared" si="78"/>
        <v>7.6720618818999835</v>
      </c>
      <c r="O44" s="1">
        <f t="shared" si="78"/>
        <v>5.497146918428399</v>
      </c>
      <c r="P44" s="1">
        <f t="shared" si="78"/>
        <v>4.9451902922127271</v>
      </c>
      <c r="Q44" s="1"/>
      <c r="R44" s="1"/>
    </row>
    <row r="45" spans="1:31" x14ac:dyDescent="0.25">
      <c r="D45" s="7" t="str">
        <f t="shared" si="77"/>
        <v>HTBar at Beta = 9</v>
      </c>
      <c r="E45" s="1">
        <f>(E3*(1-E10)*E14)+(E11*((1+COS($B14*PI()/180))/2))+(E3*E4*((1-COS($B14*PI()/180))/2))</f>
        <v>6.9205751243634763</v>
      </c>
      <c r="F45" s="1">
        <f t="shared" ref="F45:P45" si="79">(F3*(1-F10)*F14)+(F11*((1+COS($B14*PI()/180))/2))+(F3*F4*((1-COS($B14*PI()/180))/2))</f>
        <v>10.311684674391566</v>
      </c>
      <c r="G45" s="1">
        <f t="shared" si="79"/>
        <v>14.357044479560297</v>
      </c>
      <c r="H45" s="1">
        <f t="shared" si="79"/>
        <v>17.582824077769004</v>
      </c>
      <c r="I45" s="1">
        <f t="shared" si="79"/>
        <v>18.475411665860367</v>
      </c>
      <c r="J45" s="1">
        <f t="shared" si="79"/>
        <v>19.640022057114216</v>
      </c>
      <c r="K45" s="1">
        <f t="shared" si="79"/>
        <v>17.970451118928533</v>
      </c>
      <c r="L45" s="1">
        <f t="shared" si="79"/>
        <v>16.528853343307986</v>
      </c>
      <c r="M45" s="1">
        <f t="shared" si="79"/>
        <v>12.456637927426623</v>
      </c>
      <c r="N45" s="1">
        <f t="shared" si="79"/>
        <v>7.9755885292351767</v>
      </c>
      <c r="O45" s="1">
        <f t="shared" si="79"/>
        <v>5.872308438765466</v>
      </c>
      <c r="P45" s="1">
        <f t="shared" si="79"/>
        <v>5.4058762530250419</v>
      </c>
      <c r="Q45" s="1"/>
      <c r="R45" s="1"/>
    </row>
    <row r="46" spans="1:31" x14ac:dyDescent="0.25">
      <c r="D46" s="7" t="str">
        <f t="shared" si="77"/>
        <v>HTBar at Beta = 12</v>
      </c>
      <c r="E46" s="1">
        <f>(E3*(1-E10)*E15)+(E11*((1+COS($B15*PI()/180))/2))+(E3*E4*((1-COS($B15*PI()/180))/2))</f>
        <v>7.4732647673439558</v>
      </c>
      <c r="F46" s="1">
        <f t="shared" ref="F46:P46" si="80">(F3*(1-F10)*F15)+(F11*((1+COS($B15*PI()/180))/2))+(F3*F4*((1-COS($B15*PI()/180))/2))</f>
        <v>10.889163748413438</v>
      </c>
      <c r="G46" s="1">
        <f t="shared" si="80"/>
        <v>14.805732584307888</v>
      </c>
      <c r="H46" s="1">
        <f t="shared" si="80"/>
        <v>17.802215190465464</v>
      </c>
      <c r="I46" s="1">
        <f t="shared" si="80"/>
        <v>18.490524665673021</v>
      </c>
      <c r="J46" s="1">
        <f t="shared" si="80"/>
        <v>19.57935809227514</v>
      </c>
      <c r="K46" s="1">
        <f t="shared" si="80"/>
        <v>17.943332482700452</v>
      </c>
      <c r="L46" s="1">
        <f t="shared" si="80"/>
        <v>16.627651982444679</v>
      </c>
      <c r="M46" s="1">
        <f t="shared" si="80"/>
        <v>12.684437168915588</v>
      </c>
      <c r="N46" s="1">
        <f t="shared" si="80"/>
        <v>8.2629890801689818</v>
      </c>
      <c r="O46" s="1">
        <f t="shared" si="80"/>
        <v>6.2358145682709383</v>
      </c>
      <c r="P46" s="1">
        <f t="shared" si="80"/>
        <v>5.8555969480337309</v>
      </c>
      <c r="Q46" s="1"/>
      <c r="R46" s="1"/>
    </row>
    <row r="47" spans="1:31" x14ac:dyDescent="0.25">
      <c r="D47" s="7" t="str">
        <f t="shared" si="77"/>
        <v>HTBar at Beta = 15</v>
      </c>
      <c r="E47" s="1">
        <f>(E3*(1-E10)*E16)+(E11*((1+COS($B16*PI()/180))/2))+(E3*E4*((1-COS($B16*PI()/180))/2))</f>
        <v>8.0103136826859807</v>
      </c>
      <c r="F47" s="1">
        <f t="shared" ref="F47:P47" si="81">(F3*(1-F10)*F16)+(F11*((1+COS($B16*PI()/180))/2))+(F3*F4*((1-COS($B16*PI()/180))/2))</f>
        <v>11.444083032724338</v>
      </c>
      <c r="G47" s="1">
        <f t="shared" si="81"/>
        <v>15.225812350574747</v>
      </c>
      <c r="H47" s="1">
        <f t="shared" si="81"/>
        <v>17.989330156139076</v>
      </c>
      <c r="I47" s="1">
        <f t="shared" si="81"/>
        <v>18.474288352598435</v>
      </c>
      <c r="J47" s="1">
        <f t="shared" si="81"/>
        <v>19.488748180996858</v>
      </c>
      <c r="K47" s="1">
        <f t="shared" si="81"/>
        <v>17.887835070325771</v>
      </c>
      <c r="L47" s="1">
        <f t="shared" si="81"/>
        <v>16.695809415405265</v>
      </c>
      <c r="M47" s="1">
        <f t="shared" si="81"/>
        <v>12.886916304846389</v>
      </c>
      <c r="N47" s="1">
        <f t="shared" si="81"/>
        <v>8.5334757897682572</v>
      </c>
      <c r="O47" s="1">
        <f t="shared" si="81"/>
        <v>6.5866689619108385</v>
      </c>
      <c r="P47" s="1">
        <f t="shared" si="81"/>
        <v>6.2931197240734749</v>
      </c>
      <c r="Q47" s="1"/>
      <c r="R47" s="1"/>
    </row>
    <row r="48" spans="1:31" x14ac:dyDescent="0.25">
      <c r="D48" s="7" t="str">
        <f t="shared" si="77"/>
        <v>HTBar at Beta = 18</v>
      </c>
      <c r="E48" s="1">
        <f>(E3*(1-E10)*E17)+(E11*((1+COS($B17*PI()/180))/2))+(E3*E4*((1-COS($B17*PI()/180))/2))</f>
        <v>8.5302498566424116</v>
      </c>
      <c r="F48" s="1">
        <f t="shared" ref="F48:P48" si="82">(F3*(1-F10)*F17)+(F11*((1+COS($B17*PI()/180))/2))+(F3*F4*((1-COS($B17*PI()/180))/2))</f>
        <v>11.974921532137934</v>
      </c>
      <c r="G48" s="1">
        <f t="shared" si="82"/>
        <v>15.616132368920924</v>
      </c>
      <c r="H48" s="1">
        <f t="shared" si="82"/>
        <v>18.143478253413615</v>
      </c>
      <c r="I48" s="1">
        <f t="shared" si="82"/>
        <v>18.426121580188831</v>
      </c>
      <c r="J48" s="1">
        <f t="shared" si="82"/>
        <v>19.367441445304571</v>
      </c>
      <c r="K48" s="1">
        <f t="shared" si="82"/>
        <v>17.803379901327798</v>
      </c>
      <c r="L48" s="1">
        <f t="shared" si="82"/>
        <v>16.732844247528856</v>
      </c>
      <c r="M48" s="1">
        <f t="shared" si="82"/>
        <v>13.063513369684715</v>
      </c>
      <c r="N48" s="1">
        <f t="shared" si="82"/>
        <v>8.7863072727632936</v>
      </c>
      <c r="O48" s="1">
        <f t="shared" si="82"/>
        <v>6.9239099521797938</v>
      </c>
      <c r="P48" s="1">
        <f t="shared" si="82"/>
        <v>6.7172453616269934</v>
      </c>
      <c r="Q48" s="1"/>
      <c r="R48" s="1"/>
    </row>
    <row r="49" spans="4:18" x14ac:dyDescent="0.25">
      <c r="D49" s="7" t="str">
        <f t="shared" si="77"/>
        <v>HTBar at Beta = 21</v>
      </c>
      <c r="E49" s="1">
        <f>(E3*(1-E10)*E18)+(E11*((1+COS($B18*PI()/180))/2))+(E3*E4*((1-COS($B18*PI()/180))/2))</f>
        <v>9.0316481803007527</v>
      </c>
      <c r="F49" s="1">
        <f t="shared" ref="F49:P49" si="83">(F3*(1-F10)*F18)+(F11*((1+COS($B18*PI()/180))/2))+(F3*F4*((1-COS($B18*PI()/180))/2))</f>
        <v>12.480224255225469</v>
      </c>
      <c r="G49" s="1">
        <f t="shared" si="83"/>
        <v>15.975622799306951</v>
      </c>
      <c r="H49" s="1">
        <f t="shared" si="83"/>
        <v>18.264094389913733</v>
      </c>
      <c r="I49" s="1">
        <f t="shared" si="83"/>
        <v>18.34565901131592</v>
      </c>
      <c r="J49" s="1">
        <f t="shared" si="83"/>
        <v>19.214981705262897</v>
      </c>
      <c r="K49" s="1">
        <f t="shared" si="83"/>
        <v>17.689619390856048</v>
      </c>
      <c r="L49" s="1">
        <f t="shared" si="83"/>
        <v>16.738419444895921</v>
      </c>
      <c r="M49" s="1">
        <f t="shared" si="83"/>
        <v>13.213738711212031</v>
      </c>
      <c r="N49" s="1">
        <f t="shared" si="83"/>
        <v>9.0207905356332994</v>
      </c>
      <c r="O49" s="1">
        <f t="shared" si="83"/>
        <v>7.2466131849648088</v>
      </c>
      <c r="P49" s="1">
        <f t="shared" si="83"/>
        <v>7.1268113618023543</v>
      </c>
      <c r="Q49" s="1"/>
      <c r="R49" s="1"/>
    </row>
    <row r="50" spans="4:18" x14ac:dyDescent="0.25">
      <c r="D50" s="7" t="str">
        <f t="shared" si="77"/>
        <v>HTBar at Beta = 24</v>
      </c>
      <c r="E50" s="1">
        <f>(E3*(1-E10)*E19)+(E11*((1+COS($B19*PI()/180))/2))+(E3*E4*((1-COS($B19*PI()/180))/2))</f>
        <v>9.5131343557076278</v>
      </c>
      <c r="F50" s="1">
        <f t="shared" ref="F50:P50" si="84">(F3*(1-F10)*F19)+(F11*((1+COS($B19*PI()/180))/2))+(F3*F4*((1-COS($B19*PI()/180))/2))</f>
        <v>12.958606202346111</v>
      </c>
      <c r="G50" s="1">
        <f t="shared" si="84"/>
        <v>16.303298303451008</v>
      </c>
      <c r="H50" s="1">
        <f t="shared" si="84"/>
        <v>18.350732965961278</v>
      </c>
      <c r="I50" s="1">
        <f t="shared" si="84"/>
        <v>18.232722809313117</v>
      </c>
      <c r="J50" s="1">
        <f t="shared" si="84"/>
        <v>19.031158738717249</v>
      </c>
      <c r="K50" s="1">
        <f t="shared" si="84"/>
        <v>17.546402877154318</v>
      </c>
      <c r="L50" s="1">
        <f t="shared" si="84"/>
        <v>16.71233018987326</v>
      </c>
      <c r="M50" s="1">
        <f t="shared" si="84"/>
        <v>13.337176037456739</v>
      </c>
      <c r="N50" s="1">
        <f t="shared" si="84"/>
        <v>9.2362828760534814</v>
      </c>
      <c r="O50" s="1">
        <f t="shared" si="84"/>
        <v>7.5538941531356469</v>
      </c>
      <c r="P50" s="1">
        <f t="shared" si="84"/>
        <v>7.5206951326616629</v>
      </c>
      <c r="Q50" s="1"/>
      <c r="R50" s="1"/>
    </row>
    <row r="51" spans="4:18" x14ac:dyDescent="0.25">
      <c r="D51" s="7" t="str">
        <f t="shared" si="77"/>
        <v>HTBar at Beta = 27</v>
      </c>
      <c r="E51" s="1">
        <f>(E3*(1-E10)*E20)+(E11*((1+COS($B20*PI()/180))/2))+(E3*E4*((1-COS($B20*PI()/180))/2))</f>
        <v>9.9733886627239432</v>
      </c>
      <c r="F51" s="1">
        <f t="shared" ref="F51:P51" si="85">(F3*(1-F10)*F20)+(F11*((1+COS($B20*PI()/180))/2))+(F3*F4*((1-COS($B20*PI()/180))/2))</f>
        <v>13.408756161834738</v>
      </c>
      <c r="G51" s="1">
        <f t="shared" si="85"/>
        <v>16.598260745572684</v>
      </c>
      <c r="H51" s="1">
        <f t="shared" si="85"/>
        <v>18.403063470810778</v>
      </c>
      <c r="I51" s="1">
        <f t="shared" si="85"/>
        <v>18.087302037087522</v>
      </c>
      <c r="J51" s="1">
        <f t="shared" si="85"/>
        <v>18.815973432147896</v>
      </c>
      <c r="K51" s="1">
        <f t="shared" si="85"/>
        <v>17.373751741203083</v>
      </c>
      <c r="L51" s="1">
        <f t="shared" si="85"/>
        <v>16.654494928722556</v>
      </c>
      <c r="M51" s="1">
        <f t="shared" si="85"/>
        <v>13.433483340719738</v>
      </c>
      <c r="N51" s="1">
        <f t="shared" si="85"/>
        <v>9.4321936444974348</v>
      </c>
      <c r="O51" s="1">
        <f t="shared" si="85"/>
        <v>7.8449106209173918</v>
      </c>
      <c r="P51" s="1">
        <f t="shared" si="85"/>
        <v>7.897817066167522</v>
      </c>
      <c r="Q51" s="1"/>
      <c r="R51" s="1"/>
    </row>
    <row r="52" spans="4:18" x14ac:dyDescent="0.25">
      <c r="D52" s="7" t="str">
        <f t="shared" si="77"/>
        <v>HTBar at Beta = 30</v>
      </c>
      <c r="E52" s="1">
        <f>(E3*(1-E10)*E21)+(E11*((1+COS($B21*PI()/180))/2))+(E3*E4*((1-COS($B21*PI()/180))/2))</f>
        <v>10.411149576286048</v>
      </c>
      <c r="F52" s="1">
        <f t="shared" ref="F52:P52" si="86">(F3*(1-F10)*F21)+(F11*((1+COS($B21*PI()/180))/2))+(F3*F4*((1-COS($B21*PI()/180))/2))</f>
        <v>13.829440303941924</v>
      </c>
      <c r="G52" s="1">
        <f t="shared" si="86"/>
        <v>16.859701654120713</v>
      </c>
      <c r="H52" s="1">
        <f t="shared" si="86"/>
        <v>18.420867221571282</v>
      </c>
      <c r="I52" s="1">
        <f t="shared" si="86"/>
        <v>17.909537284948438</v>
      </c>
      <c r="J52" s="1">
        <f t="shared" si="86"/>
        <v>18.569612220085563</v>
      </c>
      <c r="K52" s="1">
        <f t="shared" si="86"/>
        <v>17.171840989278227</v>
      </c>
      <c r="L52" s="1">
        <f t="shared" si="86"/>
        <v>16.564948579071288</v>
      </c>
      <c r="M52" s="1">
        <f t="shared" si="86"/>
        <v>13.502393673647783</v>
      </c>
      <c r="N52" s="1">
        <f t="shared" si="86"/>
        <v>9.6079858631664496</v>
      </c>
      <c r="O52" s="1">
        <f t="shared" si="86"/>
        <v>8.1188649324001592</v>
      </c>
      <c r="P52" s="1">
        <f t="shared" si="86"/>
        <v>8.2571434973136171</v>
      </c>
      <c r="Q52" s="1"/>
      <c r="R52" s="1"/>
    </row>
    <row r="53" spans="4:18" x14ac:dyDescent="0.25">
      <c r="D53" s="7" t="str">
        <f t="shared" si="77"/>
        <v>HTBar at Beta = 33</v>
      </c>
      <c r="E53" s="1">
        <f>(E3*(1-E10)*E22)+(E11*((1+COS($B22*PI()/180))/2))+(E3*E4*((1-COS($B22*PI()/180))/2))</f>
        <v>10.825217224158251</v>
      </c>
      <c r="F53" s="1">
        <f t="shared" ref="F53:P53" si="87">(F3*(1-F10)*F22)+(F11*((1+COS($B22*PI()/180))/2))+(F3*F4*((1-COS($B22*PI()/180))/2))</f>
        <v>14.219505562675545</v>
      </c>
      <c r="G53" s="1">
        <f t="shared" si="87"/>
        <v>17.086904437737289</v>
      </c>
      <c r="H53" s="1">
        <f t="shared" si="87"/>
        <v>18.404034849316243</v>
      </c>
      <c r="I53" s="1">
        <f t="shared" si="87"/>
        <v>17.699708911888745</v>
      </c>
      <c r="J53" s="1">
        <f t="shared" si="87"/>
        <v>18.292427888281885</v>
      </c>
      <c r="K53" s="1">
        <f t="shared" si="87"/>
        <v>16.940985285147551</v>
      </c>
      <c r="L53" s="1">
        <f t="shared" si="87"/>
        <v>16.443837211867386</v>
      </c>
      <c r="M53" s="1">
        <f t="shared" si="87"/>
        <v>13.543715759996498</v>
      </c>
      <c r="N53" s="1">
        <f t="shared" si="87"/>
        <v>9.7631776978083167</v>
      </c>
      <c r="O53" s="1">
        <f t="shared" si="87"/>
        <v>8.375006197858502</v>
      </c>
      <c r="P53" s="1">
        <f t="shared" si="87"/>
        <v>8.5976895373286446</v>
      </c>
      <c r="Q53" s="1"/>
      <c r="R53" s="1"/>
    </row>
    <row r="54" spans="4:18" x14ac:dyDescent="0.25">
      <c r="D54" s="7" t="str">
        <f t="shared" si="77"/>
        <v>HTBar at Beta = 36</v>
      </c>
      <c r="E54" s="1">
        <f>(E3*(1-E10)*E23)+(E11*((1+COS($B23*PI()/180))/2))+(E3*E4*((1-COS($B23*PI()/180))/2))</f>
        <v>11.214456675699235</v>
      </c>
      <c r="F54" s="1">
        <f t="shared" ref="F54:P54" si="88">(F3*(1-F10)*F23)+(F11*((1+COS($B23*PI()/180))/2))+(F3*F4*((1-COS($B23*PI()/180))/2))</f>
        <v>14.577882796274524</v>
      </c>
      <c r="G54" s="1">
        <f t="shared" si="88"/>
        <v>17.279246349385204</v>
      </c>
      <c r="H54" s="1">
        <f t="shared" si="88"/>
        <v>18.352564263002584</v>
      </c>
      <c r="I54" s="1">
        <f t="shared" si="88"/>
        <v>17.458227826032015</v>
      </c>
      <c r="J54" s="1">
        <f t="shared" si="88"/>
        <v>17.984924834066856</v>
      </c>
      <c r="K54" s="1">
        <f t="shared" si="88"/>
        <v>16.681628106470271</v>
      </c>
      <c r="L54" s="1">
        <f t="shared" si="88"/>
        <v>16.291413744925975</v>
      </c>
      <c r="M54" s="1">
        <f t="shared" si="88"/>
        <v>13.557334427944353</v>
      </c>
      <c r="N54" s="1">
        <f t="shared" si="88"/>
        <v>9.8973437783915372</v>
      </c>
      <c r="O54" s="1">
        <f t="shared" si="88"/>
        <v>8.6126323518879655</v>
      </c>
      <c r="P54" s="1">
        <f t="shared" si="88"/>
        <v>8.9185217731879938</v>
      </c>
      <c r="Q54" s="1"/>
      <c r="R54" s="1"/>
    </row>
    <row r="55" spans="4:18" x14ac:dyDescent="0.25">
      <c r="D55" s="7" t="str">
        <f t="shared" si="77"/>
        <v>HTBar at Beta = 39</v>
      </c>
      <c r="E55" s="1">
        <f>(E3*(1-E10)*E24)+(E11*((1+COS($B24*PI()/180))/2))+(E3*E4*((1-COS($B24*PI()/180))/2))</f>
        <v>11.577801052628024</v>
      </c>
      <c r="F55" s="1">
        <f t="shared" ref="F55:P55" si="89">(F3*(1-F10)*F24)+(F11*((1+COS($B24*PI()/180))/2))+(F3*F4*((1-COS($B24*PI()/180))/2))</f>
        <v>14.903589717652061</v>
      </c>
      <c r="G55" s="1">
        <f t="shared" si="89"/>
        <v>17.436200193254145</v>
      </c>
      <c r="H55" s="1">
        <f t="shared" si="89"/>
        <v>18.266558905682789</v>
      </c>
      <c r="I55" s="1">
        <f t="shared" si="89"/>
        <v>17.185628078585179</v>
      </c>
      <c r="J55" s="1">
        <f t="shared" si="89"/>
        <v>17.647747516620559</v>
      </c>
      <c r="K55" s="1">
        <f t="shared" si="89"/>
        <v>16.394333137410456</v>
      </c>
      <c r="L55" s="1">
        <f t="shared" si="89"/>
        <v>16.108034331581102</v>
      </c>
      <c r="M55" s="1">
        <f t="shared" si="89"/>
        <v>13.54321085749598</v>
      </c>
      <c r="N55" s="1">
        <f t="shared" si="89"/>
        <v>10.010116365015001</v>
      </c>
      <c r="O55" s="1">
        <f t="shared" si="89"/>
        <v>8.8310920777175426</v>
      </c>
      <c r="P55" s="1">
        <f t="shared" si="89"/>
        <v>9.2187608260339466</v>
      </c>
      <c r="Q55" s="1"/>
      <c r="R55" s="1"/>
    </row>
    <row r="56" spans="4:18" x14ac:dyDescent="0.25">
      <c r="D56" s="7" t="str">
        <f t="shared" si="77"/>
        <v>HTBar at Beta = 42</v>
      </c>
      <c r="E56" s="1">
        <f>(E3*(1-E10)*E25)+(E11*((1+COS($B25*PI()/180))/2))+(E3*E4*((1-COS($B25*PI()/180))/2))</f>
        <v>11.914254453263213</v>
      </c>
      <c r="F56" s="1">
        <f t="shared" ref="F56:P56" si="90">(F3*(1-F10)*F25)+(F11*((1+COS($B25*PI()/180))/2))+(F3*F4*((1-COS($B25*PI()/180))/2))</f>
        <v>15.195733586776271</v>
      </c>
      <c r="G56" s="1">
        <f t="shared" si="90"/>
        <v>17.5573357697678</v>
      </c>
      <c r="H56" s="1">
        <f t="shared" si="90"/>
        <v>18.146226174661745</v>
      </c>
      <c r="I56" s="1">
        <f t="shared" si="90"/>
        <v>16.88256077665006</v>
      </c>
      <c r="J56" s="1">
        <f t="shared" si="90"/>
        <v>17.281671244166059</v>
      </c>
      <c r="K56" s="1">
        <f t="shared" si="90"/>
        <v>16.079777296068126</v>
      </c>
      <c r="L56" s="1">
        <f t="shared" si="90"/>
        <v>15.894155226777738</v>
      </c>
      <c r="M56" s="1">
        <f t="shared" si="90"/>
        <v>13.501382636208584</v>
      </c>
      <c r="N56" s="1">
        <f t="shared" si="90"/>
        <v>10.101186355857504</v>
      </c>
      <c r="O56" s="1">
        <f t="shared" si="90"/>
        <v>9.0297865924236849</v>
      </c>
      <c r="P56" s="1">
        <f t="shared" si="90"/>
        <v>9.4975837614920167</v>
      </c>
      <c r="Q56" s="1"/>
      <c r="R56" s="1"/>
    </row>
    <row r="57" spans="4:18" x14ac:dyDescent="0.25">
      <c r="D57" s="7" t="str">
        <f t="shared" si="77"/>
        <v>HTBar at Beta = 45</v>
      </c>
      <c r="E57" s="1">
        <f>(E3*(1-E10)*E26)+(E11*((1+COS($B26*PI()/180))/2))+(E3*E4*((1-COS($B26*PI()/180))/2))</f>
        <v>12.222894682220254</v>
      </c>
      <c r="F57" s="1">
        <f t="shared" ref="F57:P57" si="91">(F3*(1-F10)*F26)+(F11*((1+COS($B26*PI()/180))/2))+(F3*F4*((1-COS($B26*PI()/180))/2))</f>
        <v>15.453513657608548</v>
      </c>
      <c r="G57" s="1">
        <f t="shared" si="91"/>
        <v>17.642321054730971</v>
      </c>
      <c r="H57" s="1">
        <f t="shared" si="91"/>
        <v>17.991875917293147</v>
      </c>
      <c r="I57" s="1">
        <f t="shared" si="91"/>
        <v>16.549788977848124</v>
      </c>
      <c r="J57" s="1">
        <f t="shared" si="91"/>
        <v>16.88759472225933</v>
      </c>
      <c r="K57" s="1">
        <f t="shared" si="91"/>
        <v>15.738744988906364</v>
      </c>
      <c r="L57" s="1">
        <f t="shared" si="91"/>
        <v>15.650329981495513</v>
      </c>
      <c r="M57" s="1">
        <f t="shared" si="91"/>
        <v>13.431963619535988</v>
      </c>
      <c r="N57" s="1">
        <f t="shared" si="91"/>
        <v>10.17030413440434</v>
      </c>
      <c r="O57" s="1">
        <f t="shared" si="91"/>
        <v>9.2081712881526716</v>
      </c>
      <c r="P57" s="1">
        <f t="shared" si="91"/>
        <v>9.7542263452768516</v>
      </c>
      <c r="Q57" s="1"/>
      <c r="R57" s="1"/>
    </row>
    <row r="58" spans="4:18" x14ac:dyDescent="0.25">
      <c r="D58" s="7" t="str">
        <f t="shared" si="77"/>
        <v>HTBar at Beta = 48</v>
      </c>
      <c r="E58" s="1">
        <f>(E3*(1-E10)*E27)+(E11*((1+COS($B27*PI()/180))/2))+(E3*E4*((1-COS($B27*PI()/180))/2))</f>
        <v>12.502875778084887</v>
      </c>
      <c r="F58" s="1">
        <f t="shared" ref="F58:P58" si="92">(F3*(1-F10)*F27)+(F11*((1+COS($B27*PI()/180))/2))+(F3*F4*((1-COS($B27*PI()/180))/2))</f>
        <v>15.676223372892823</v>
      </c>
      <c r="G58" s="1">
        <f t="shared" si="92"/>
        <v>17.690923109384837</v>
      </c>
      <c r="H58" s="1">
        <f t="shared" si="92"/>
        <v>17.803918943079509</v>
      </c>
      <c r="I58" s="1">
        <f t="shared" si="92"/>
        <v>16.188183340900135</v>
      </c>
      <c r="J58" s="1">
        <f t="shared" si="92"/>
        <v>16.46653397952883</v>
      </c>
      <c r="K58" s="1">
        <f t="shared" si="92"/>
        <v>15.372123319705361</v>
      </c>
      <c r="L58" s="1">
        <f t="shared" si="92"/>
        <v>15.377206865517756</v>
      </c>
      <c r="M58" s="1">
        <f t="shared" si="92"/>
        <v>13.33514359373301</v>
      </c>
      <c r="N58" s="1">
        <f t="shared" si="92"/>
        <v>10.217280253628831</v>
      </c>
      <c r="O58" s="1">
        <f t="shared" si="92"/>
        <v>9.3657572248528744</v>
      </c>
      <c r="P58" s="1">
        <f t="shared" si="92"/>
        <v>9.9879851379053122</v>
      </c>
      <c r="Q58" s="1"/>
      <c r="R58" s="1"/>
    </row>
    <row r="59" spans="4:18" x14ac:dyDescent="0.25">
      <c r="D59" s="7" t="str">
        <f t="shared" si="77"/>
        <v>HTBar at Beta = 51</v>
      </c>
      <c r="E59" s="1">
        <f>(E3*(1-E10)*E28)+(E11*((1+COS($B28*PI()/180))/2))+(E3*E4*((1-COS($B28*PI()/180))/2))</f>
        <v>12.753430332134608</v>
      </c>
      <c r="F59" s="1">
        <f t="shared" ref="F59:P59" si="93">(F3*(1-F10)*F28)+(F11*((1+COS($B28*PI()/180))/2))+(F3*F4*((1-COS($B28*PI()/180))/2))</f>
        <v>15.863252300779859</v>
      </c>
      <c r="G59" s="1">
        <f t="shared" si="93"/>
        <v>17.703008718875871</v>
      </c>
      <c r="H59" s="1">
        <f t="shared" si="93"/>
        <v>17.582865514581762</v>
      </c>
      <c r="I59" s="1">
        <f t="shared" si="93"/>
        <v>15.798718388162253</v>
      </c>
      <c r="J59" s="1">
        <f t="shared" si="93"/>
        <v>16.01961742652955</v>
      </c>
      <c r="K59" s="1">
        <f t="shared" si="93"/>
        <v>14.98089807943184</v>
      </c>
      <c r="L59" s="1">
        <f t="shared" si="93"/>
        <v>15.075526455244679</v>
      </c>
      <c r="M59" s="1">
        <f t="shared" si="93"/>
        <v>13.211187740642028</v>
      </c>
      <c r="N59" s="1">
        <f t="shared" si="93"/>
        <v>10.241985955253449</v>
      </c>
      <c r="O59" s="1">
        <f t="shared" si="93"/>
        <v>9.5021124704254643</v>
      </c>
      <c r="P59" s="1">
        <f t="shared" si="93"/>
        <v>10.198219422775171</v>
      </c>
      <c r="Q59" s="1"/>
      <c r="R59" s="1"/>
    </row>
    <row r="60" spans="4:18" x14ac:dyDescent="0.25">
      <c r="D60" s="7" t="str">
        <f t="shared" si="77"/>
        <v>HTBar at Beta = 54</v>
      </c>
      <c r="E60" s="1">
        <f>(E3*(1-E10)*E29)+(E11*((1+COS($B29*PI()/180))/2))+(E3*E4*((1-COS($B29*PI()/180))/2))</f>
        <v>12.973871591752584</v>
      </c>
      <c r="F60" s="1">
        <f t="shared" ref="F60:P60" si="94">(F3*(1-F10)*F29)+(F11*((1+COS($B29*PI()/180))/2))+(F3*F4*((1-COS($B29*PI()/180))/2))</f>
        <v>16.014087807978544</v>
      </c>
      <c r="G60" s="1">
        <f t="shared" si="94"/>
        <v>17.678544757388519</v>
      </c>
      <c r="H60" s="1">
        <f t="shared" si="94"/>
        <v>17.329323797042413</v>
      </c>
      <c r="I60" s="1">
        <f t="shared" si="94"/>
        <v>15.382469299956234</v>
      </c>
      <c r="J60" s="1">
        <f t="shared" si="94"/>
        <v>15.548081910592217</v>
      </c>
      <c r="K60" s="1">
        <f t="shared" si="94"/>
        <v>14.566150419979445</v>
      </c>
      <c r="L60" s="1">
        <f t="shared" si="94"/>
        <v>14.746119352216654</v>
      </c>
      <c r="M60" s="1">
        <f t="shared" si="94"/>
        <v>13.060435904893783</v>
      </c>
      <c r="N60" s="1">
        <f t="shared" si="94"/>
        <v>10.244353522667318</v>
      </c>
      <c r="O60" s="1">
        <f t="shared" si="94"/>
        <v>9.616863284620262</v>
      </c>
      <c r="P60" s="1">
        <f t="shared" si="94"/>
        <v>10.384352962324808</v>
      </c>
      <c r="Q60" s="1"/>
      <c r="R60" s="1"/>
    </row>
    <row r="61" spans="4:18" x14ac:dyDescent="0.25">
      <c r="D61" s="7" t="str">
        <f t="shared" si="77"/>
        <v>HTBar at Beta = 57</v>
      </c>
      <c r="E61" s="1">
        <f>(E3*(1-E10)*E30)+(E11*((1+COS($B30*PI()/180))/2))+(E3*E4*((1-COS($B30*PI()/180))/2))</f>
        <v>13.163595342768893</v>
      </c>
      <c r="F61" s="1">
        <f t="shared" ref="F61:P61" si="95">(F3*(1-F10)*F30)+(F11*((1+COS($B30*PI()/180))/2))+(F3*F4*((1-COS($B30*PI()/180))/2))</f>
        <v>16.128316464848083</v>
      </c>
      <c r="G61" s="1">
        <f t="shared" si="95"/>
        <v>17.617598278940754</v>
      </c>
      <c r="H61" s="1">
        <f t="shared" si="95"/>
        <v>17.043998261521118</v>
      </c>
      <c r="I61" s="1">
        <f t="shared" si="95"/>
        <v>14.940609214321897</v>
      </c>
      <c r="J61" s="1">
        <f t="shared" si="95"/>
        <v>15.053269719028282</v>
      </c>
      <c r="K61" s="1">
        <f t="shared" si="95"/>
        <v>14.129054178933918</v>
      </c>
      <c r="L61" s="1">
        <f t="shared" si="95"/>
        <v>14.389904022646455</v>
      </c>
      <c r="M61" s="1">
        <f t="shared" si="95"/>
        <v>12.883301665165927</v>
      </c>
      <c r="N61" s="1">
        <f t="shared" si="95"/>
        <v>10.224376466532725</v>
      </c>
      <c r="O61" s="1">
        <f t="shared" si="95"/>
        <v>9.7096951434317909</v>
      </c>
      <c r="P61" s="1">
        <f t="shared" si="95"/>
        <v>10.545875577460306</v>
      </c>
      <c r="Q61" s="1"/>
      <c r="R61" s="1"/>
    </row>
    <row r="62" spans="4:18" x14ac:dyDescent="0.25">
      <c r="D62" s="7" t="str">
        <f t="shared" si="77"/>
        <v>HTBar at Beta = 60</v>
      </c>
      <c r="E62" s="1">
        <f>(E3*(1-E10)*E31)+(E11*((1+COS($B31*PI()/180))/2))+(E3*E4*((1-COS($B31*PI()/180))/2))</f>
        <v>13.32208156556954</v>
      </c>
      <c r="F62" s="1">
        <f t="shared" ref="F62:P62" si="96">(F3*(1-F10)*F31)+(F11*((1+COS($B31*PI()/180))/2))+(F3*F4*((1-COS($B31*PI()/180))/2))</f>
        <v>16.20562517857995</v>
      </c>
      <c r="G62" s="1">
        <f t="shared" si="96"/>
        <v>17.520336333593658</v>
      </c>
      <c r="H62" s="1">
        <f t="shared" si="96"/>
        <v>16.727688050271983</v>
      </c>
      <c r="I62" s="1">
        <f t="shared" si="96"/>
        <v>14.474407055777757</v>
      </c>
      <c r="J62" s="1">
        <f t="shared" si="96"/>
        <v>14.536626565802818</v>
      </c>
      <c r="K62" s="1">
        <f t="shared" si="96"/>
        <v>13.67087388200928</v>
      </c>
      <c r="L62" s="1">
        <f t="shared" si="96"/>
        <v>14.007884771228843</v>
      </c>
      <c r="M62" s="1">
        <f t="shared" si="96"/>
        <v>12.680271212213095</v>
      </c>
      <c r="N62" s="1">
        <f t="shared" si="96"/>
        <v>10.182109542571943</v>
      </c>
      <c r="O62" s="1">
        <f t="shared" si="96"/>
        <v>9.7803536011877146</v>
      </c>
      <c r="P62" s="1">
        <f t="shared" si="96"/>
        <v>10.682344545920872</v>
      </c>
      <c r="Q62" s="1"/>
      <c r="R62" s="1"/>
    </row>
    <row r="63" spans="4:18" x14ac:dyDescent="0.25">
      <c r="D63" s="7" t="str">
        <f t="shared" si="77"/>
        <v>HTBar at Beta = 63</v>
      </c>
      <c r="E63" s="1">
        <f>(E3*(1-E10)*E32)+(E11*((1+COS($B32*PI()/180))/2))+(E3*E4*((1-COS($B32*PI()/180))/2))</f>
        <v>13.448895860434067</v>
      </c>
      <c r="F63" s="1">
        <f t="shared" ref="F63:P63" si="97">(F3*(1-F10)*F32)+(F11*((1+COS($B32*PI()/180))/2))+(F3*F4*((1-COS($B32*PI()/180))/2))</f>
        <v>16.245802051363459</v>
      </c>
      <c r="G63" s="1">
        <f t="shared" si="97"/>
        <v>17.387025509578834</v>
      </c>
      <c r="H63" s="1">
        <f t="shared" si="97"/>
        <v>16.381285327447767</v>
      </c>
      <c r="I63" s="1">
        <f t="shared" si="97"/>
        <v>13.985225968360249</v>
      </c>
      <c r="J63" s="1">
        <f t="shared" si="97"/>
        <v>13.9997006825871</v>
      </c>
      <c r="K63" s="1">
        <f t="shared" si="97"/>
        <v>13.192963511420039</v>
      </c>
      <c r="L63" s="1">
        <f t="shared" si="97"/>
        <v>13.601149886204595</v>
      </c>
      <c r="M63" s="1">
        <f t="shared" si="97"/>
        <v>12.451902037461835</v>
      </c>
      <c r="N63" s="1">
        <f t="shared" si="97"/>
        <v>10.117668601485615</v>
      </c>
      <c r="O63" s="1">
        <f t="shared" si="97"/>
        <v>9.8286449879667313</v>
      </c>
      <c r="P63" s="1">
        <f t="shared" si="97"/>
        <v>10.793385815749801</v>
      </c>
      <c r="Q63" s="1"/>
      <c r="R63" s="1"/>
    </row>
    <row r="64" spans="4:18" x14ac:dyDescent="0.25">
      <c r="D64" s="7" t="str">
        <f t="shared" si="77"/>
        <v>HTBar at Beta = 66</v>
      </c>
      <c r="E64" s="1">
        <f>(E3*(1-E10)*E33)+(E11*((1+COS($B33*PI()/180))/2))+(E3*E4*((1-COS($B33*PI()/180))/2))</f>
        <v>13.543690638195008</v>
      </c>
      <c r="F64" s="1">
        <f t="shared" ref="F64:P64" si="98">(F3*(1-F10)*F33)+(F11*((1+COS($B33*PI()/180))/2))+(F3*F4*((1-COS($B33*PI()/180))/2))</f>
        <v>16.248736961182967</v>
      </c>
      <c r="G64" s="1">
        <f t="shared" si="98"/>
        <v>17.218031202598592</v>
      </c>
      <c r="H64" s="1">
        <f t="shared" si="98"/>
        <v>16.005773654455236</v>
      </c>
      <c r="I64" s="1">
        <f t="shared" si="98"/>
        <v>13.47452248748132</v>
      </c>
      <c r="J64" s="1">
        <f t="shared" si="98"/>
        <v>13.444143234288568</v>
      </c>
      <c r="K64" s="1">
        <f t="shared" si="98"/>
        <v>12.696766199410717</v>
      </c>
      <c r="L64" s="1">
        <f t="shared" si="98"/>
        <v>13.170870019629923</v>
      </c>
      <c r="M64" s="1">
        <f t="shared" si="98"/>
        <v>12.198821437106877</v>
      </c>
      <c r="N64" s="1">
        <f t="shared" si="98"/>
        <v>10.031230271414021</v>
      </c>
      <c r="O64" s="1">
        <f t="shared" si="98"/>
        <v>9.8544369404343719</v>
      </c>
      <c r="P64" s="1">
        <f t="shared" si="98"/>
        <v>10.878695030544874</v>
      </c>
      <c r="Q64" s="1"/>
      <c r="R64" s="1"/>
    </row>
    <row r="65" spans="1:18" x14ac:dyDescent="0.25">
      <c r="D65" s="7" t="str">
        <f t="shared" si="77"/>
        <v>HTBar at Beta = 69</v>
      </c>
      <c r="E65" s="1">
        <f>(E3*(1-E10)*E34)+(E11*((1+COS($B34*PI()/180))/2))+(E3*E4*((1-COS($B34*PI()/180))/2))</f>
        <v>13.606206072955613</v>
      </c>
      <c r="F65" s="1">
        <f t="shared" ref="F65:P65" si="99">(F3*(1-F10)*F34)+(F11*((1+COS($B34*PI()/180))/2))+(F3*F4*((1-COS($B34*PI()/180))/2))</f>
        <v>16.214421863654671</v>
      </c>
      <c r="G65" s="1">
        <f t="shared" si="99"/>
        <v>17.013816614301703</v>
      </c>
      <c r="H65" s="1">
        <f t="shared" si="99"/>
        <v>15.602226449168588</v>
      </c>
      <c r="I65" s="1">
        <f t="shared" si="99"/>
        <v>12.943846659179453</v>
      </c>
      <c r="J65" s="1">
        <f t="shared" si="99"/>
        <v>12.87171040456986</v>
      </c>
      <c r="K65" s="1">
        <f t="shared" si="99"/>
        <v>12.183815095358185</v>
      </c>
      <c r="L65" s="1">
        <f t="shared" si="99"/>
        <v>12.718296900103626</v>
      </c>
      <c r="M65" s="1">
        <f t="shared" si="99"/>
        <v>11.921724837916042</v>
      </c>
      <c r="N65" s="1">
        <f t="shared" si="99"/>
        <v>9.9230314738116316</v>
      </c>
      <c r="O65" s="1">
        <f t="shared" si="99"/>
        <v>9.8576587646417018</v>
      </c>
      <c r="P65" s="1">
        <f t="shared" si="99"/>
        <v>10.938038363678109</v>
      </c>
      <c r="Q65" s="1"/>
      <c r="R65" s="1"/>
    </row>
    <row r="66" spans="1:18" x14ac:dyDescent="0.25">
      <c r="D66" s="7" t="str">
        <f>"HTBar at Beta = "&amp;B35</f>
        <v>HTBar at Beta = 72</v>
      </c>
      <c r="E66" s="1">
        <f>(E3*(1-E10)*E35)+(E11*((1+COS($B35*PI()/180))/2))+(E3*E4*((1-COS($B35*PI()/180))/2))</f>
        <v>13.63627081425461</v>
      </c>
      <c r="F66" s="1">
        <f t="shared" ref="F66:P66" si="100">(F3*(1-F10)*F35)+(F11*((1+COS($B35*PI()/180))/2))+(F3*F4*((1-COS($B35*PI()/180))/2))</f>
        <v>16.142950814075675</v>
      </c>
      <c r="G66" s="1">
        <f t="shared" si="100"/>
        <v>16.774941482679914</v>
      </c>
      <c r="H66" s="1">
        <f t="shared" si="100"/>
        <v>15.171805614095826</v>
      </c>
      <c r="I66" s="1">
        <f t="shared" si="100"/>
        <v>12.39484341399962</v>
      </c>
      <c r="J66" s="1">
        <f t="shared" si="100"/>
        <v>12.284267666482441</v>
      </c>
      <c r="K66" s="1">
        <f t="shared" si="100"/>
        <v>11.65573577463396</v>
      </c>
      <c r="L66" s="1">
        <f t="shared" si="100"/>
        <v>12.244762518974728</v>
      </c>
      <c r="M66" s="1">
        <f t="shared" si="100"/>
        <v>11.621373952437528</v>
      </c>
      <c r="N66" s="1">
        <f t="shared" si="100"/>
        <v>9.793368774061868</v>
      </c>
      <c r="O66" s="1">
        <f t="shared" si="100"/>
        <v>9.8383016297925145</v>
      </c>
      <c r="P66" s="1">
        <f t="shared" si="100"/>
        <v>10.971253159198294</v>
      </c>
      <c r="Q66" s="1"/>
      <c r="R66" s="1"/>
    </row>
    <row r="67" spans="1:18" x14ac:dyDescent="0.25">
      <c r="D67" s="7" t="str">
        <f t="shared" si="77"/>
        <v>HTBar at Beta = 75</v>
      </c>
      <c r="E67" s="1">
        <f>(E3*(1-E10)*E36)+(E11*((1+COS($B36*PI()/180))/2))+(E3*E4*((1-COS($B36*PI()/180))/2))</f>
        <v>13.633802456725867</v>
      </c>
      <c r="F67" s="1">
        <f t="shared" ref="F67:P67" si="101">(F3*(1-F10)*F36)+(F11*((1+COS($B36*PI()/180))/2))+(F3*F4*((1-COS($B36*PI()/180))/2))</f>
        <v>16.034519709624988</v>
      </c>
      <c r="G67" s="1">
        <f t="shared" si="101"/>
        <v>16.502060547864993</v>
      </c>
      <c r="H67" s="1">
        <f t="shared" si="101"/>
        <v>14.715760453894587</v>
      </c>
      <c r="I67" s="1">
        <f t="shared" si="101"/>
        <v>11.829255640620961</v>
      </c>
      <c r="J67" s="1">
        <f t="shared" si="101"/>
        <v>11.683796994361398</v>
      </c>
      <c r="K67" s="1">
        <f t="shared" si="101"/>
        <v>11.114250726241984</v>
      </c>
      <c r="L67" s="1">
        <f t="shared" si="101"/>
        <v>11.751678991314597</v>
      </c>
      <c r="M67" s="1">
        <f t="shared" si="101"/>
        <v>11.298594773129741</v>
      </c>
      <c r="N67" s="1">
        <f t="shared" si="101"/>
        <v>9.6425975686120058</v>
      </c>
      <c r="O67" s="1">
        <f t="shared" si="101"/>
        <v>9.7964185924479281</v>
      </c>
      <c r="P67" s="1">
        <f t="shared" si="101"/>
        <v>10.978248377659636</v>
      </c>
      <c r="Q67" s="1"/>
      <c r="R67" s="1"/>
    </row>
    <row r="68" spans="1:18" x14ac:dyDescent="0.25">
      <c r="D68" s="7" t="str">
        <f t="shared" si="77"/>
        <v>HTBar at Beta = 78</v>
      </c>
      <c r="E68" s="1">
        <f>(E3*(1-E10)*E37)+(E11*((1+COS($B37*PI()/180))/2))+(E3*E4*((1-COS($B37*PI()/180))/2))</f>
        <v>13.598807765965798</v>
      </c>
      <c r="F68" s="1">
        <f t="shared" ref="F68:P68" si="102">(F3*(1-F10)*F37)+(F11*((1+COS($B37*PI()/180))/2))+(F3*F4*((1-COS($B37*PI()/180))/2))</f>
        <v>15.889425752422952</v>
      </c>
      <c r="G68" s="1">
        <f t="shared" si="102"/>
        <v>16.19592175753154</v>
      </c>
      <c r="H68" s="1">
        <f t="shared" si="102"/>
        <v>14.235427052500926</v>
      </c>
      <c r="I68" s="1">
        <f t="shared" si="102"/>
        <v>11.248929604186776</v>
      </c>
      <c r="J68" s="1">
        <f t="shared" si="102"/>
        <v>11.072408128996251</v>
      </c>
      <c r="K68" s="1">
        <f t="shared" si="102"/>
        <v>10.561186703276649</v>
      </c>
      <c r="L68" s="1">
        <f t="shared" si="102"/>
        <v>11.240539378879998</v>
      </c>
      <c r="M68" s="1">
        <f t="shared" si="102"/>
        <v>10.954275417289763</v>
      </c>
      <c r="N68" s="1">
        <f t="shared" si="102"/>
        <v>9.4711311108562004</v>
      </c>
      <c r="O68" s="1">
        <f t="shared" si="102"/>
        <v>9.7321244511020577</v>
      </c>
      <c r="P68" s="1">
        <f t="shared" si="102"/>
        <v>10.959004845654565</v>
      </c>
      <c r="Q68" s="1"/>
      <c r="R68" s="1"/>
    </row>
    <row r="69" spans="1:18" x14ac:dyDescent="0.25">
      <c r="D69" s="7" t="str">
        <f t="shared" si="77"/>
        <v>HTBar at Beta = 81</v>
      </c>
      <c r="E69" s="1">
        <f>(E3*(1-E10)*E38)+(E11*((1+COS($B38*PI()/180))/2))+(E3*E4*((1-COS($B38*PI()/180))/2))</f>
        <v>13.531382659989328</v>
      </c>
      <c r="F69" s="1">
        <f t="shared" ref="F69:P69" si="103">(F3*(1-F10)*F38)+(F11*((1+COS($B38*PI()/180))/2))+(F3*F4*((1-COS($B38*PI()/180))/2))</f>
        <v>15.708066634920906</v>
      </c>
      <c r="G69" s="1">
        <f t="shared" si="103"/>
        <v>15.857364216824424</v>
      </c>
      <c r="H69" s="1">
        <f t="shared" si="103"/>
        <v>13.73222835263088</v>
      </c>
      <c r="I69" s="1">
        <f t="shared" si="103"/>
        <v>10.655823652831151</v>
      </c>
      <c r="J69" s="1">
        <f t="shared" si="103"/>
        <v>10.452355551066697</v>
      </c>
      <c r="K69" s="1">
        <f t="shared" si="103"/>
        <v>9.9984860932859245</v>
      </c>
      <c r="L69" s="1">
        <f t="shared" si="103"/>
        <v>10.712919888447738</v>
      </c>
      <c r="M69" s="1">
        <f t="shared" si="103"/>
        <v>10.589363837835347</v>
      </c>
      <c r="N69" s="1">
        <f t="shared" si="103"/>
        <v>9.279439378436674</v>
      </c>
      <c r="O69" s="1">
        <f t="shared" si="103"/>
        <v>9.6455954315272976</v>
      </c>
      <c r="P69" s="1">
        <f t="shared" si="103"/>
        <v>10.91357530836671</v>
      </c>
      <c r="Q69" s="1"/>
      <c r="R69" s="1"/>
    </row>
    <row r="70" spans="1:18" x14ac:dyDescent="0.25">
      <c r="D70" s="7" t="str">
        <f t="shared" si="77"/>
        <v>HTBar at Beta = 84</v>
      </c>
      <c r="E70" s="1">
        <f>(E3*(1-E10)*E39)+(E11*((1+COS($B39*PI()/180))/2))+(E3*E4*((1-COS($B39*PI()/180))/2))</f>
        <v>13.431711946325272</v>
      </c>
      <c r="F70" s="1">
        <f t="shared" ref="F70:P70" si="104">(F3*(1-F10)*F39)+(F11*((1+COS($B39*PI()/180))/2))+(F3*F4*((1-COS($B39*PI()/180))/2))</f>
        <v>15.490939449853801</v>
      </c>
      <c r="G70" s="1">
        <f t="shared" si="104"/>
        <v>15.487315888429865</v>
      </c>
      <c r="H70" s="1">
        <f t="shared" si="104"/>
        <v>13.207675288520951</v>
      </c>
      <c r="I70" s="1">
        <f t="shared" si="104"/>
        <v>10.052021614555249</v>
      </c>
      <c r="J70" s="1">
        <f t="shared" si="104"/>
        <v>9.8260636727031034</v>
      </c>
      <c r="K70" s="1">
        <f t="shared" si="104"/>
        <v>9.4282240459155613</v>
      </c>
      <c r="L70" s="1">
        <f t="shared" si="104"/>
        <v>10.170484048930975</v>
      </c>
      <c r="M70" s="1">
        <f t="shared" si="104"/>
        <v>10.204865419466234</v>
      </c>
      <c r="N70" s="1">
        <f t="shared" si="104"/>
        <v>9.0680477850676624</v>
      </c>
      <c r="O70" s="1">
        <f t="shared" si="104"/>
        <v>9.5370687037517463</v>
      </c>
      <c r="P70" s="1">
        <f t="shared" si="104"/>
        <v>10.842084285000006</v>
      </c>
      <c r="Q70" s="1"/>
      <c r="R70" s="1"/>
    </row>
    <row r="71" spans="1:18" x14ac:dyDescent="0.25">
      <c r="D71" s="7" t="str">
        <f t="shared" si="77"/>
        <v>HTBar at Beta = 87</v>
      </c>
      <c r="E71" s="1">
        <f>(E3*(1-E10)*E40)+(E11*((1+COS($B40*PI()/180))/2))+(E3*E4*((1-COS($B40*PI()/180))/2))</f>
        <v>13.300068815471759</v>
      </c>
      <c r="F71" s="1">
        <f t="shared" ref="F71:P71" si="105">(F3*(1-F10)*F40)+(F11*((1+COS($B40*PI()/180))/2))+(F3*F4*((1-COS($B40*PI()/180))/2))</f>
        <v>15.238639327743577</v>
      </c>
      <c r="G71" s="1">
        <f t="shared" si="105"/>
        <v>15.086791049094259</v>
      </c>
      <c r="H71" s="1">
        <f t="shared" si="105"/>
        <v>12.663369487951993</v>
      </c>
      <c r="I71" s="1">
        <f t="shared" si="105"/>
        <v>9.439753011416828</v>
      </c>
      <c r="J71" s="1">
        <f t="shared" si="105"/>
        <v>9.1961641478210048</v>
      </c>
      <c r="K71" s="1">
        <f t="shared" si="105"/>
        <v>8.8526340258144867</v>
      </c>
      <c r="L71" s="1">
        <f t="shared" si="105"/>
        <v>9.6149897642394855</v>
      </c>
      <c r="M71" s="1">
        <f t="shared" si="105"/>
        <v>9.8018404862629129</v>
      </c>
      <c r="N71" s="1">
        <f t="shared" si="105"/>
        <v>8.8375357404129353</v>
      </c>
      <c r="O71" s="1">
        <f t="shared" si="105"/>
        <v>9.4068417319926336</v>
      </c>
      <c r="P71" s="1">
        <f t="shared" si="105"/>
        <v>10.744727727480221</v>
      </c>
      <c r="Q71" s="1"/>
      <c r="R71" s="1"/>
    </row>
    <row r="72" spans="1:18" x14ac:dyDescent="0.25">
      <c r="D72" s="7" t="str">
        <f>"HTBar at Beta = "&amp;B41</f>
        <v>HTBar at Beta = 90</v>
      </c>
      <c r="E72" s="1">
        <f>(E3*(1-E10)*E41)+(E11*((1+COS($B41*PI()/180))/2))+(E3*E4*((1-COS($B41*PI()/180))/2))</f>
        <v>13.136814092100057</v>
      </c>
      <c r="F72" s="1">
        <f t="shared" ref="F72:P72" si="106">(F3*(1-F10)*F41)+(F11*((1+COS($B41*PI()/180))/2))+(F3*F4*((1-COS($B41*PI()/180))/2))</f>
        <v>14.95185780568778</v>
      </c>
      <c r="G72" s="1">
        <f t="shared" si="106"/>
        <v>14.656887509562077</v>
      </c>
      <c r="H72" s="1">
        <f t="shared" si="106"/>
        <v>12.101008318311514</v>
      </c>
      <c r="I72" s="1">
        <f t="shared" si="106"/>
        <v>8.8214233985798494</v>
      </c>
      <c r="J72" s="1">
        <f t="shared" si="106"/>
        <v>8.5655515485044553</v>
      </c>
      <c r="K72" s="1">
        <f t="shared" si="106"/>
        <v>8.2741460016852617</v>
      </c>
      <c r="L72" s="1">
        <f t="shared" si="106"/>
        <v>9.0483006043355338</v>
      </c>
      <c r="M72" s="1">
        <f t="shared" si="106"/>
        <v>9.3814017566648449</v>
      </c>
      <c r="N72" s="1">
        <f t="shared" si="106"/>
        <v>8.5885350619641994</v>
      </c>
      <c r="O72" s="1">
        <f t="shared" si="106"/>
        <v>9.2552714593275827</v>
      </c>
      <c r="P72" s="1">
        <f t="shared" si="106"/>
        <v>10.621772483364344</v>
      </c>
      <c r="Q72" s="1"/>
      <c r="R72" s="1"/>
    </row>
    <row r="73" spans="1:18" x14ac:dyDescent="0.25">
      <c r="A73" s="77" t="s">
        <v>88</v>
      </c>
      <c r="B73" s="77"/>
      <c r="C73" s="77"/>
      <c r="D73" s="77" t="s">
        <v>91</v>
      </c>
      <c r="E73" s="77">
        <f>(E3*(1-E10)*E42)+(E11*((1+COS($B42*PI()/180))/2))+(E3*E4*((1-COS($B42*PI()/180))/2))</f>
        <v>5.1840000000000002</v>
      </c>
      <c r="F73" s="77">
        <f t="shared" ref="F73:P73" si="107">(F3*(1-F10)*F42)+(F11*((1+COS($B42*PI()/180))/2))+(F3*F4*((1-COS($B42*PI()/180))/2))</f>
        <v>8.4600000000000009</v>
      </c>
      <c r="G73" s="77">
        <f t="shared" si="107"/>
        <v>12.852</v>
      </c>
      <c r="H73" s="77">
        <f t="shared" si="107"/>
        <v>16.740000000000002</v>
      </c>
      <c r="I73" s="77">
        <f t="shared" si="107"/>
        <v>18.252000000000002</v>
      </c>
      <c r="J73" s="77">
        <f t="shared" si="107"/>
        <v>19.655999999999999</v>
      </c>
      <c r="K73" s="77">
        <f t="shared" si="107"/>
        <v>17.891999999999999</v>
      </c>
      <c r="L73" s="77">
        <f t="shared" si="107"/>
        <v>16.056000000000001</v>
      </c>
      <c r="M73" s="77">
        <f t="shared" si="107"/>
        <v>11.628</v>
      </c>
      <c r="N73" s="77">
        <f t="shared" si="107"/>
        <v>7.02</v>
      </c>
      <c r="O73" s="77">
        <f t="shared" si="107"/>
        <v>4.7160000000000002</v>
      </c>
      <c r="P73" s="77">
        <f t="shared" si="107"/>
        <v>3.9960000000000004</v>
      </c>
      <c r="Q73" s="1"/>
      <c r="R73" s="1"/>
    </row>
    <row r="74" spans="1:18" x14ac:dyDescent="0.25">
      <c r="D74" s="8" t="s">
        <v>31</v>
      </c>
      <c r="E74" s="1">
        <f>MAX(E43:E72)</f>
        <v>13.63627081425461</v>
      </c>
      <c r="F74" s="1">
        <f t="shared" ref="F74:P74" si="108">MAX(F43:F72)</f>
        <v>16.248736961182967</v>
      </c>
      <c r="G74" s="1">
        <f t="shared" si="108"/>
        <v>17.703008718875871</v>
      </c>
      <c r="H74" s="1">
        <f t="shared" si="108"/>
        <v>18.420867221571282</v>
      </c>
      <c r="I74" s="1">
        <f t="shared" si="108"/>
        <v>18.490524665673021</v>
      </c>
      <c r="J74" s="1">
        <f t="shared" si="108"/>
        <v>19.676443772720098</v>
      </c>
      <c r="K74" s="1">
        <f t="shared" si="108"/>
        <v>17.970451118928533</v>
      </c>
      <c r="L74" s="1">
        <f t="shared" si="108"/>
        <v>16.738419444895921</v>
      </c>
      <c r="M74" s="1">
        <f t="shared" si="108"/>
        <v>13.557334427944353</v>
      </c>
      <c r="N74" s="1">
        <f t="shared" si="108"/>
        <v>10.244353522667318</v>
      </c>
      <c r="O74" s="1">
        <f t="shared" si="108"/>
        <v>9.8576587646417018</v>
      </c>
      <c r="P74" s="1">
        <f t="shared" si="108"/>
        <v>10.978248377659636</v>
      </c>
    </row>
    <row r="75" spans="1:18" x14ac:dyDescent="0.25">
      <c r="D75" s="8" t="s">
        <v>32</v>
      </c>
      <c r="E75" s="1">
        <f>E74/E3</f>
        <v>2.6304534749719539</v>
      </c>
      <c r="F75" s="1">
        <f t="shared" ref="F75:P75" si="109">F74/F3</f>
        <v>1.9206544871374664</v>
      </c>
      <c r="G75" s="1">
        <f t="shared" si="109"/>
        <v>1.3774516587983092</v>
      </c>
      <c r="H75" s="1">
        <f t="shared" si="109"/>
        <v>1.1004102282898016</v>
      </c>
      <c r="I75" s="1">
        <f t="shared" si="109"/>
        <v>1.0130684125396132</v>
      </c>
      <c r="J75" s="1">
        <f t="shared" si="109"/>
        <v>1.0010400779772131</v>
      </c>
      <c r="K75" s="1">
        <f t="shared" si="109"/>
        <v>1.0043847037183398</v>
      </c>
      <c r="L75" s="1">
        <f t="shared" si="109"/>
        <v>1.0425024567075187</v>
      </c>
      <c r="M75" s="1">
        <f t="shared" si="109"/>
        <v>1.1659214334317469</v>
      </c>
      <c r="N75" s="1">
        <f t="shared" si="109"/>
        <v>1.4593096186135781</v>
      </c>
      <c r="O75" s="1">
        <f t="shared" si="109"/>
        <v>2.0902584318578672</v>
      </c>
      <c r="P75" s="1">
        <f t="shared" si="109"/>
        <v>2.7473094038187273</v>
      </c>
    </row>
    <row r="76" spans="1:18" x14ac:dyDescent="0.25">
      <c r="C76" t="s">
        <v>104</v>
      </c>
      <c r="D76" s="8" t="s">
        <v>33</v>
      </c>
      <c r="E76" s="1">
        <v>72</v>
      </c>
      <c r="F76" s="1">
        <v>66</v>
      </c>
      <c r="G76" s="1">
        <v>51</v>
      </c>
      <c r="H76" s="1">
        <v>30</v>
      </c>
      <c r="I76" s="1">
        <v>12</v>
      </c>
      <c r="J76" s="1">
        <v>3</v>
      </c>
      <c r="K76" s="1">
        <v>9</v>
      </c>
      <c r="L76" s="1">
        <v>21</v>
      </c>
      <c r="M76" s="1">
        <v>36</v>
      </c>
      <c r="N76" s="1">
        <v>54</v>
      </c>
      <c r="O76" s="1">
        <v>69</v>
      </c>
      <c r="P76" s="1">
        <v>75</v>
      </c>
    </row>
    <row r="77" spans="1:18" x14ac:dyDescent="0.25">
      <c r="D77" s="9" t="s">
        <v>79</v>
      </c>
      <c r="E77" s="1">
        <f>AVERAGE(E76:P76)</f>
        <v>41.5</v>
      </c>
    </row>
    <row r="78" spans="1:18" x14ac:dyDescent="0.25">
      <c r="D78" s="78" t="s">
        <v>143</v>
      </c>
      <c r="E78" s="79">
        <v>3.6288447014453853</v>
      </c>
      <c r="F78" s="1">
        <v>2.4442582222737421</v>
      </c>
      <c r="G78" s="1">
        <v>1.6324199721370993</v>
      </c>
      <c r="H78" s="1">
        <v>1.1881495617005415</v>
      </c>
      <c r="I78" s="1">
        <v>1.0314473615231445</v>
      </c>
      <c r="J78" s="1">
        <v>1.002363584329959</v>
      </c>
      <c r="K78" s="1">
        <v>1.0130687189872802</v>
      </c>
      <c r="L78" s="1">
        <v>1.1025251793339905</v>
      </c>
      <c r="M78" s="1">
        <v>1.3970411851696674</v>
      </c>
      <c r="N78" s="1">
        <v>1.3970411851696674</v>
      </c>
      <c r="O78" s="1">
        <v>3.2484356175598799</v>
      </c>
      <c r="P78" s="1">
        <v>4.1222890596748138</v>
      </c>
    </row>
    <row r="79" spans="1:18" x14ac:dyDescent="0.25">
      <c r="D79" s="8" t="s">
        <v>144</v>
      </c>
      <c r="E79">
        <f>MIN(E43:E72)</f>
        <v>5.7743719090206742</v>
      </c>
      <c r="F79">
        <f t="shared" ref="F79:P79" si="110">MIN(F43:F72)</f>
        <v>9.0954359736106287</v>
      </c>
      <c r="G79">
        <f t="shared" si="110"/>
        <v>13.378837588859813</v>
      </c>
      <c r="H79">
        <f t="shared" si="110"/>
        <v>12.101008318311514</v>
      </c>
      <c r="I79">
        <f t="shared" si="110"/>
        <v>8.8214233985798494</v>
      </c>
      <c r="J79">
        <f t="shared" si="110"/>
        <v>8.5655515485044553</v>
      </c>
      <c r="K79">
        <f t="shared" si="110"/>
        <v>8.2741460016852617</v>
      </c>
      <c r="L79">
        <f t="shared" si="110"/>
        <v>9.0483006043355338</v>
      </c>
      <c r="M79">
        <f t="shared" si="110"/>
        <v>9.3814017566648449</v>
      </c>
      <c r="N79">
        <f t="shared" si="110"/>
        <v>7.3532410836058695</v>
      </c>
      <c r="O79">
        <f t="shared" si="110"/>
        <v>5.1113582989098241</v>
      </c>
      <c r="P79">
        <f t="shared" si="110"/>
        <v>4.4748017737934855</v>
      </c>
    </row>
    <row r="80" spans="1:18" x14ac:dyDescent="0.25">
      <c r="D80" s="8" t="s">
        <v>145</v>
      </c>
      <c r="E80">
        <f>AVERAGE(P76,E76,F76)</f>
        <v>71</v>
      </c>
      <c r="F80">
        <f>AVERAGE(G76,H76,I76)</f>
        <v>31</v>
      </c>
      <c r="G80">
        <f>AVERAGE(J76,K76,L76)</f>
        <v>11</v>
      </c>
      <c r="H80">
        <f>AVERAGE(M76,N76,O76)</f>
        <v>53</v>
      </c>
    </row>
    <row r="82" spans="4:16" x14ac:dyDescent="0.25">
      <c r="D82" t="s">
        <v>34</v>
      </c>
      <c r="E82" s="1">
        <f>(2/15)*E7</f>
        <v>8.5809428906773526</v>
      </c>
      <c r="F82" s="1">
        <f t="shared" ref="F82:P82" si="111">(2/15)*F7</f>
        <v>9.9869899045683521</v>
      </c>
      <c r="G82" s="1">
        <f t="shared" si="111"/>
        <v>11.634635636429293</v>
      </c>
      <c r="H82" s="1">
        <f t="shared" si="111"/>
        <v>13.442873561622461</v>
      </c>
      <c r="I82" s="1">
        <f t="shared" si="111"/>
        <v>15.021505172068212</v>
      </c>
      <c r="J82" s="1">
        <f t="shared" si="111"/>
        <v>15.847650101713448</v>
      </c>
      <c r="K82" s="1">
        <f t="shared" si="111"/>
        <v>15.470425193992968</v>
      </c>
      <c r="L82" s="1">
        <f t="shared" si="111"/>
        <v>14.095679578426752</v>
      </c>
      <c r="M82" s="1">
        <f t="shared" si="111"/>
        <v>12.334960460556665</v>
      </c>
      <c r="N82" s="1">
        <f t="shared" si="111"/>
        <v>10.527961236988894</v>
      </c>
      <c r="O82" s="1">
        <f t="shared" si="111"/>
        <v>8.9565539204833389</v>
      </c>
      <c r="P82" s="1">
        <f t="shared" si="111"/>
        <v>8.159736655898401</v>
      </c>
    </row>
    <row r="83" spans="4:16" x14ac:dyDescent="0.25">
      <c r="D83" t="s">
        <v>35</v>
      </c>
      <c r="E83" s="1">
        <v>8</v>
      </c>
      <c r="F83" s="1">
        <v>10</v>
      </c>
      <c r="G83" s="1">
        <v>12</v>
      </c>
      <c r="H83" s="1">
        <v>12</v>
      </c>
      <c r="I83" s="1">
        <v>14</v>
      </c>
      <c r="J83" s="1">
        <v>16</v>
      </c>
      <c r="K83" s="1">
        <v>14</v>
      </c>
      <c r="L83" s="1">
        <v>14</v>
      </c>
      <c r="M83" s="1">
        <v>12</v>
      </c>
      <c r="N83" s="1">
        <v>10</v>
      </c>
      <c r="O83" s="1">
        <v>8</v>
      </c>
      <c r="P83" s="1">
        <v>8</v>
      </c>
    </row>
    <row r="84" spans="4:16" x14ac:dyDescent="0.25">
      <c r="D84" t="s">
        <v>50</v>
      </c>
      <c r="E84" s="1">
        <f>15*(E103-12)</f>
        <v>-82.5</v>
      </c>
      <c r="F84" s="1">
        <f t="shared" ref="F84:P84" si="112">15*(F103-12)</f>
        <v>-67.5</v>
      </c>
      <c r="G84" s="1">
        <f t="shared" si="112"/>
        <v>-52.5</v>
      </c>
      <c r="H84" s="1">
        <f t="shared" si="112"/>
        <v>-37.5</v>
      </c>
      <c r="I84" s="1">
        <f t="shared" si="112"/>
        <v>-22.5</v>
      </c>
      <c r="J84" s="1">
        <f t="shared" si="112"/>
        <v>-7.5</v>
      </c>
      <c r="K84" s="1">
        <f t="shared" si="112"/>
        <v>7.5</v>
      </c>
      <c r="L84" s="1">
        <f t="shared" si="112"/>
        <v>22.5</v>
      </c>
      <c r="M84" s="1">
        <f t="shared" si="112"/>
        <v>37.5</v>
      </c>
      <c r="N84" s="1">
        <f t="shared" si="112"/>
        <v>52.5</v>
      </c>
      <c r="O84" s="1">
        <f t="shared" si="112"/>
        <v>67.5</v>
      </c>
      <c r="P84" s="1">
        <f t="shared" si="112"/>
        <v>82.5</v>
      </c>
    </row>
    <row r="85" spans="4:16" x14ac:dyDescent="0.25">
      <c r="D85" t="s">
        <v>51</v>
      </c>
      <c r="E85" s="1">
        <f>0.409 + (0.5016*SIN((E7-60)*PI()/180))</f>
        <v>0.44710754232677741</v>
      </c>
      <c r="F85" s="1">
        <f t="shared" ref="F85:P85" si="113">0.409 + (0.5016*SIN((F7-60)*PI()/180))</f>
        <v>0.53799831888128391</v>
      </c>
      <c r="G85" s="1">
        <f t="shared" si="113"/>
        <v>0.63874557082251271</v>
      </c>
      <c r="H85" s="1">
        <f t="shared" si="113"/>
        <v>0.73689857857484231</v>
      </c>
      <c r="I85" s="1">
        <f t="shared" si="113"/>
        <v>0.80780403744055618</v>
      </c>
      <c r="J85" s="1">
        <f t="shared" si="113"/>
        <v>0.83831070280901909</v>
      </c>
      <c r="K85" s="1">
        <f t="shared" si="113"/>
        <v>0.82498319492695193</v>
      </c>
      <c r="L85" s="1">
        <f t="shared" si="113"/>
        <v>0.76809905110867938</v>
      </c>
      <c r="M85" s="1">
        <f t="shared" si="113"/>
        <v>0.67859958201196224</v>
      </c>
      <c r="N85" s="1">
        <f t="shared" si="113"/>
        <v>0.57197143503796632</v>
      </c>
      <c r="O85" s="1">
        <f t="shared" si="113"/>
        <v>0.47164266062896654</v>
      </c>
      <c r="P85" s="1">
        <f t="shared" si="113"/>
        <v>0.4194874306136484</v>
      </c>
    </row>
    <row r="86" spans="4:16" x14ac:dyDescent="0.25">
      <c r="D86" t="s">
        <v>52</v>
      </c>
      <c r="E86" s="1">
        <f>0.6609 - (0.4767*SIN((E7-60)*PI()/180))</f>
        <v>0.62468415983418113</v>
      </c>
      <c r="F86" s="1">
        <f t="shared" ref="F86:P86" si="114">0.6609 - (0.4767*SIN((F7-60)*PI()/180))</f>
        <v>0.53830530580002389</v>
      </c>
      <c r="G86" s="1">
        <f t="shared" si="114"/>
        <v>0.44255926313578187</v>
      </c>
      <c r="H86" s="1">
        <f t="shared" si="114"/>
        <v>0.34927868339986573</v>
      </c>
      <c r="I86" s="1">
        <f t="shared" si="114"/>
        <v>0.28189305293478251</v>
      </c>
      <c r="J86" s="1">
        <f t="shared" si="114"/>
        <v>0.25290077346678758</v>
      </c>
      <c r="K86" s="1">
        <f t="shared" si="114"/>
        <v>0.26556668855327364</v>
      </c>
      <c r="L86" s="1">
        <f t="shared" si="114"/>
        <v>0.31962703815090215</v>
      </c>
      <c r="M86" s="1">
        <f t="shared" si="114"/>
        <v>0.40468365082714836</v>
      </c>
      <c r="N86" s="1">
        <f t="shared" si="114"/>
        <v>0.5060186541415499</v>
      </c>
      <c r="O86" s="1">
        <f t="shared" si="114"/>
        <v>0.60136699297881113</v>
      </c>
      <c r="P86" s="1">
        <f t="shared" si="114"/>
        <v>0.65093317748499568</v>
      </c>
    </row>
    <row r="102" spans="4:20" x14ac:dyDescent="0.25">
      <c r="D102" t="s">
        <v>36</v>
      </c>
      <c r="E102" s="1" t="s">
        <v>37</v>
      </c>
      <c r="F102" s="1" t="s">
        <v>38</v>
      </c>
      <c r="G102" s="1" t="s">
        <v>39</v>
      </c>
      <c r="H102" s="1" t="s">
        <v>40</v>
      </c>
      <c r="I102" s="1" t="s">
        <v>41</v>
      </c>
      <c r="J102" s="1" t="s">
        <v>42</v>
      </c>
      <c r="K102" s="1" t="s">
        <v>43</v>
      </c>
      <c r="L102" s="1" t="s">
        <v>44</v>
      </c>
      <c r="M102" s="1" t="s">
        <v>45</v>
      </c>
      <c r="N102" s="1" t="s">
        <v>46</v>
      </c>
      <c r="O102" s="1" t="s">
        <v>47</v>
      </c>
      <c r="P102" s="1" t="s">
        <v>48</v>
      </c>
    </row>
    <row r="103" spans="4:20" x14ac:dyDescent="0.25">
      <c r="D103" t="s">
        <v>49</v>
      </c>
      <c r="E103" s="1">
        <v>6.5</v>
      </c>
      <c r="F103" s="1">
        <v>7.5</v>
      </c>
      <c r="G103" s="1">
        <v>8.5</v>
      </c>
      <c r="H103" s="1">
        <v>9.5</v>
      </c>
      <c r="I103" s="1">
        <v>10.5</v>
      </c>
      <c r="J103" s="1">
        <v>11.5</v>
      </c>
      <c r="K103" s="1">
        <v>12.5</v>
      </c>
      <c r="L103" s="1">
        <v>13.5</v>
      </c>
      <c r="M103" s="1">
        <v>14.5</v>
      </c>
      <c r="N103" s="1">
        <v>15.5</v>
      </c>
      <c r="O103" s="1">
        <v>16.5</v>
      </c>
      <c r="P103" s="1">
        <v>17.5</v>
      </c>
    </row>
    <row r="106" spans="4:20" x14ac:dyDescent="0.25">
      <c r="D106" t="s">
        <v>36</v>
      </c>
      <c r="E106" s="1" t="s">
        <v>82</v>
      </c>
      <c r="F106" s="1" t="s">
        <v>83</v>
      </c>
      <c r="G106" s="1" t="s">
        <v>37</v>
      </c>
      <c r="H106" s="1" t="s">
        <v>38</v>
      </c>
      <c r="I106" s="1" t="s">
        <v>39</v>
      </c>
      <c r="J106" s="1" t="s">
        <v>84</v>
      </c>
      <c r="K106" s="1" t="s">
        <v>41</v>
      </c>
      <c r="L106" s="1" t="s">
        <v>42</v>
      </c>
      <c r="M106" s="1" t="s">
        <v>43</v>
      </c>
      <c r="N106" s="1" t="s">
        <v>44</v>
      </c>
      <c r="O106" s="1" t="s">
        <v>45</v>
      </c>
      <c r="P106" s="1" t="s">
        <v>46</v>
      </c>
      <c r="Q106" s="1" t="s">
        <v>47</v>
      </c>
      <c r="R106" s="1" t="s">
        <v>48</v>
      </c>
      <c r="S106" s="1" t="s">
        <v>85</v>
      </c>
      <c r="T106" s="1" t="s">
        <v>86</v>
      </c>
    </row>
    <row r="107" spans="4:20" x14ac:dyDescent="0.25">
      <c r="D107" t="s">
        <v>49</v>
      </c>
      <c r="E107" s="1">
        <v>4.5</v>
      </c>
      <c r="F107" s="1">
        <v>5.5</v>
      </c>
      <c r="G107" s="1">
        <v>6.5</v>
      </c>
      <c r="H107" s="1">
        <v>7.5</v>
      </c>
      <c r="I107" s="1">
        <v>8.5</v>
      </c>
      <c r="J107" s="1">
        <v>9.5</v>
      </c>
      <c r="K107" s="1">
        <v>10.5</v>
      </c>
      <c r="L107" s="1">
        <v>11.5</v>
      </c>
      <c r="M107" s="1">
        <v>12.5</v>
      </c>
      <c r="N107" s="1">
        <v>13.5</v>
      </c>
      <c r="O107" s="1">
        <v>14.5</v>
      </c>
      <c r="P107" s="1">
        <v>15.5</v>
      </c>
      <c r="Q107" s="1">
        <v>16.5</v>
      </c>
      <c r="R107" s="1">
        <v>17.5</v>
      </c>
      <c r="S107" s="1">
        <v>18.5</v>
      </c>
      <c r="T107" s="1">
        <v>19.5</v>
      </c>
    </row>
    <row r="108" spans="4:20" x14ac:dyDescent="0.25">
      <c r="D108" t="s">
        <v>50</v>
      </c>
      <c r="E108" s="1">
        <f>15*(E107-12)</f>
        <v>-112.5</v>
      </c>
      <c r="F108" s="1">
        <f>15*(F107-12)</f>
        <v>-97.5</v>
      </c>
      <c r="G108" s="1">
        <f t="shared" ref="G108:T108" si="115">15*(G107-12)</f>
        <v>-82.5</v>
      </c>
      <c r="H108" s="1">
        <f t="shared" si="115"/>
        <v>-67.5</v>
      </c>
      <c r="I108" s="1">
        <f t="shared" si="115"/>
        <v>-52.5</v>
      </c>
      <c r="J108" s="1">
        <f t="shared" si="115"/>
        <v>-37.5</v>
      </c>
      <c r="K108" s="1">
        <f t="shared" si="115"/>
        <v>-22.5</v>
      </c>
      <c r="L108" s="1">
        <f t="shared" si="115"/>
        <v>-7.5</v>
      </c>
      <c r="M108" s="1">
        <f t="shared" si="115"/>
        <v>7.5</v>
      </c>
      <c r="N108" s="1">
        <f t="shared" si="115"/>
        <v>22.5</v>
      </c>
      <c r="O108" s="1">
        <f t="shared" si="115"/>
        <v>37.5</v>
      </c>
      <c r="P108" s="1">
        <f t="shared" si="115"/>
        <v>52.5</v>
      </c>
      <c r="Q108" s="1">
        <f t="shared" si="115"/>
        <v>67.5</v>
      </c>
      <c r="R108" s="1">
        <f t="shared" si="115"/>
        <v>82.5</v>
      </c>
      <c r="S108" s="1">
        <f t="shared" si="115"/>
        <v>97.5</v>
      </c>
      <c r="T108" s="1">
        <f t="shared" si="115"/>
        <v>112.5</v>
      </c>
    </row>
  </sheetData>
  <mergeCells count="2">
    <mergeCell ref="A12:A41"/>
    <mergeCell ref="R3:R3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F49B-9CB3-47EB-B9B4-DA7D1EF72918}">
  <dimension ref="A1:AO95"/>
  <sheetViews>
    <sheetView topLeftCell="N1" zoomScaleNormal="100" workbookViewId="0">
      <pane ySplit="1" topLeftCell="A2" activePane="bottomLeft" state="frozen"/>
      <selection pane="bottomLeft" activeCell="AI43" sqref="AI43"/>
    </sheetView>
  </sheetViews>
  <sheetFormatPr defaultRowHeight="15" x14ac:dyDescent="0.25"/>
  <cols>
    <col min="1" max="1" width="20.5703125" style="88" hidden="1" customWidth="1"/>
    <col min="2" max="13" width="12" style="88" hidden="1" customWidth="1"/>
    <col min="14" max="14" width="14.140625" style="79" bestFit="1" customWidth="1"/>
    <col min="15" max="15" width="20.5703125" bestFit="1" customWidth="1"/>
    <col min="16" max="27" width="12" bestFit="1" customWidth="1"/>
    <col min="28" max="28" width="18.28515625" bestFit="1" customWidth="1"/>
    <col min="29" max="29" width="20.5703125" bestFit="1" customWidth="1"/>
    <col min="30" max="41" width="12" bestFit="1" customWidth="1"/>
  </cols>
  <sheetData>
    <row r="1" spans="1:41" x14ac:dyDescent="0.25">
      <c r="A1" s="86" t="s">
        <v>6</v>
      </c>
      <c r="B1" s="86" t="s">
        <v>7</v>
      </c>
      <c r="C1" s="86" t="s">
        <v>8</v>
      </c>
      <c r="D1" s="86" t="s">
        <v>9</v>
      </c>
      <c r="E1" s="86" t="s">
        <v>10</v>
      </c>
      <c r="F1" s="86" t="s">
        <v>11</v>
      </c>
      <c r="G1" s="86" t="s">
        <v>12</v>
      </c>
      <c r="H1" s="86" t="s">
        <v>13</v>
      </c>
      <c r="I1" s="86" t="s">
        <v>14</v>
      </c>
      <c r="J1" s="86" t="s">
        <v>15</v>
      </c>
      <c r="K1" s="86" t="s">
        <v>16</v>
      </c>
      <c r="L1" s="86" t="s">
        <v>17</v>
      </c>
      <c r="M1" s="86" t="s">
        <v>18</v>
      </c>
      <c r="N1" s="3" t="s">
        <v>141</v>
      </c>
      <c r="O1" s="80" t="s">
        <v>6</v>
      </c>
      <c r="P1" s="80" t="s">
        <v>7</v>
      </c>
      <c r="Q1" s="80" t="s">
        <v>8</v>
      </c>
      <c r="R1" s="80" t="s">
        <v>9</v>
      </c>
      <c r="S1" s="80" t="s">
        <v>10</v>
      </c>
      <c r="T1" s="80" t="s">
        <v>11</v>
      </c>
      <c r="U1" s="80" t="s">
        <v>12</v>
      </c>
      <c r="V1" s="80" t="s">
        <v>13</v>
      </c>
      <c r="W1" s="80" t="s">
        <v>14</v>
      </c>
      <c r="X1" s="80" t="s">
        <v>15</v>
      </c>
      <c r="Y1" s="80" t="s">
        <v>16</v>
      </c>
      <c r="Z1" s="80" t="s">
        <v>17</v>
      </c>
      <c r="AA1" s="80" t="s">
        <v>18</v>
      </c>
      <c r="AB1" s="95" t="s">
        <v>142</v>
      </c>
      <c r="AC1" s="80" t="s">
        <v>6</v>
      </c>
      <c r="AD1" s="80" t="s">
        <v>7</v>
      </c>
      <c r="AE1" s="80" t="s">
        <v>8</v>
      </c>
      <c r="AF1" s="80" t="s">
        <v>9</v>
      </c>
      <c r="AG1" s="80" t="s">
        <v>10</v>
      </c>
      <c r="AH1" s="80" t="s">
        <v>11</v>
      </c>
      <c r="AI1" s="80" t="s">
        <v>12</v>
      </c>
      <c r="AJ1" s="80" t="s">
        <v>13</v>
      </c>
      <c r="AK1" s="80" t="s">
        <v>14</v>
      </c>
      <c r="AL1" s="80" t="s">
        <v>15</v>
      </c>
      <c r="AM1" s="80" t="s">
        <v>16</v>
      </c>
      <c r="AN1" s="80" t="s">
        <v>17</v>
      </c>
      <c r="AO1" s="80" t="s">
        <v>18</v>
      </c>
    </row>
    <row r="2" spans="1:41" x14ac:dyDescent="0.25">
      <c r="A2" s="87" t="str">
        <f>"HTBeam at Beta = " &amp; HTBar!B12</f>
        <v>HTBeam at Beta = 3</v>
      </c>
      <c r="B2" s="88">
        <f>HTBar!$E$3*(1-HTBar!$E$10)*HTBar!$E12</f>
        <v>3.8478152819510578</v>
      </c>
      <c r="C2" s="88">
        <f>HTBar!$F$3*(1-HTBar!$F$10)*HTBar!$F12</f>
        <v>6.1477150176539244</v>
      </c>
      <c r="D2" s="88">
        <f>HTBar!$G$3*(1-HTBar!$G$10)*HTBar!$G12</f>
        <v>8.4985848989602193</v>
      </c>
      <c r="E2" s="88">
        <f>HTBar!$H$3*(1-HTBar!$H$10)*HTBar!$H12</f>
        <v>10.24099763099751</v>
      </c>
      <c r="F2" s="88">
        <f>HTBar!$I$3*(1-HTBar!$I$10)*HTBar!$I12</f>
        <v>10.019262432993278</v>
      </c>
      <c r="G2" s="88">
        <f>HTBar!$J$3*(1-HTBar!$J$10)*HTBar!$J12</f>
        <v>10.706705078851977</v>
      </c>
      <c r="H2" s="88">
        <f>HTBar!$K$3*(1-HTBar!$K$10)*HTBar!$K12</f>
        <v>9.2930498981166778</v>
      </c>
      <c r="I2" s="88">
        <f>HTBar!$L$3*(1-HTBar!$L$10)*HTBar!$L12</f>
        <v>8.7926047288198816</v>
      </c>
      <c r="J2" s="88">
        <f>HTBar!$M$3*(1-HTBar!$M$10)*HTBar!$M12</f>
        <v>6.2489260158629882</v>
      </c>
      <c r="K2" s="88">
        <f>HTBar!$N$3*(1-HTBar!$N$10)*HTBar!$N12</f>
        <v>3.8027426944963416</v>
      </c>
      <c r="L2" s="88">
        <f>HTBar!$O$3*(1-HTBar!$O$10)*HTBar!$O12</f>
        <v>2.8626606611523622</v>
      </c>
      <c r="M2" s="88">
        <f>HTBar!$P$3*(1-HTBar!$P$10)*HTBar!$P12</f>
        <v>2.7834483223255839</v>
      </c>
      <c r="N2" s="94" t="s">
        <v>104</v>
      </c>
      <c r="O2" s="81" t="s">
        <v>105</v>
      </c>
      <c r="P2">
        <v>3.84781528195106</v>
      </c>
      <c r="Q2">
        <v>6.1477150176539199</v>
      </c>
      <c r="R2">
        <v>8.4985848989602193</v>
      </c>
      <c r="S2">
        <v>10.24099763099751</v>
      </c>
      <c r="T2">
        <v>10.019262432993278</v>
      </c>
      <c r="U2">
        <v>10.706705078851977</v>
      </c>
      <c r="V2">
        <v>9.2930498981166778</v>
      </c>
      <c r="W2">
        <v>8.7926047288198816</v>
      </c>
      <c r="X2">
        <v>6.2489260158629882</v>
      </c>
      <c r="Y2">
        <v>3.8027426944963416</v>
      </c>
      <c r="Z2">
        <v>2.8626606611523622</v>
      </c>
      <c r="AA2">
        <v>2.7834483223255839</v>
      </c>
      <c r="AC2" s="81" t="s">
        <v>105</v>
      </c>
      <c r="AD2">
        <f>$P2*100/$P44</f>
        <v>66.636083414371626</v>
      </c>
      <c r="AE2">
        <f>$Q2*100/$Q44</f>
        <v>67.591207672626311</v>
      </c>
      <c r="AF2">
        <f>$R2*100/$R44</f>
        <v>63.522595610524156</v>
      </c>
      <c r="AG2">
        <f>$S2*100/$S44</f>
        <v>60.062173503632188</v>
      </c>
      <c r="AH2">
        <f>$T2*100/$T44</f>
        <v>54.586609899090497</v>
      </c>
      <c r="AI2">
        <f>$U2*100/$U44</f>
        <v>54.413821941218934</v>
      </c>
      <c r="AJ2">
        <f>$V2*100/$V44</f>
        <v>51.791075300275409</v>
      </c>
      <c r="AK2">
        <f>$W2*100/$W44</f>
        <v>54.134692370420773</v>
      </c>
      <c r="AL2">
        <f>$X2*100/$X44</f>
        <v>52.390113676248696</v>
      </c>
      <c r="AM2">
        <f>$Y2*100/$Y44</f>
        <v>51.715191318486724</v>
      </c>
      <c r="AN2">
        <f>$Z2*100/$Z44</f>
        <v>56.005869550622677</v>
      </c>
      <c r="AO2">
        <f>$AA2*100/$AA44</f>
        <v>62.202717863990053</v>
      </c>
    </row>
    <row r="3" spans="1:41" x14ac:dyDescent="0.25">
      <c r="A3" s="89" t="str">
        <f>"HTBeam at Beta = " &amp; HTBar!B13</f>
        <v>HTBeam at Beta = 6</v>
      </c>
      <c r="B3" s="88">
        <f>HTBar!$E$3*(1-HTBar!$E$10)*HTBar!$E13</f>
        <v>4.4278596900885425</v>
      </c>
      <c r="C3" s="88">
        <f>HTBar!$F$3*(1-HTBar!$F$10)*HTBar!$F13</f>
        <v>6.7666974992636995</v>
      </c>
      <c r="D3" s="88">
        <f>HTBar!$G$3*(1-HTBar!$G$10)*HTBar!$G13</f>
        <v>9.0028310642406204</v>
      </c>
      <c r="E3" s="88">
        <f>HTBar!$H$3*(1-HTBar!$H$10)*HTBar!$H13</f>
        <v>10.528056829556199</v>
      </c>
      <c r="F3" s="88">
        <f>HTBar!$I$3*(1-HTBar!$I$10)*HTBar!$I13</f>
        <v>10.108005181658807</v>
      </c>
      <c r="G3" s="88">
        <f>HTBar!$J$3*(1-HTBar!$J$10)*HTBar!$J13</f>
        <v>10.716512165972759</v>
      </c>
      <c r="H3" s="88">
        <f>HTBar!$K$3*(1-HTBar!$K$10)*HTBar!$K13</f>
        <v>9.3338591771508153</v>
      </c>
      <c r="I3" s="88">
        <f>HTBar!$L$3*(1-HTBar!$L$10)*HTBar!$L13</f>
        <v>8.9629127509507445</v>
      </c>
      <c r="J3" s="88">
        <f>HTBar!$M$3*(1-HTBar!$M$10)*HTBar!$M13</f>
        <v>6.5346773333876529</v>
      </c>
      <c r="K3" s="88">
        <f>HTBar!$N$3*(1-HTBar!$N$10)*HTBar!$N13</f>
        <v>4.1275620834503846</v>
      </c>
      <c r="L3" s="88">
        <f>HTBar!$O$3*(1-HTBar!$O$10)*HTBar!$O13</f>
        <v>3.2510354514205613</v>
      </c>
      <c r="M3" s="88">
        <f>HTBar!$P$3*(1-HTBar!$P$10)*HTBar!$P13</f>
        <v>3.2550134042129266</v>
      </c>
      <c r="N3" s="94"/>
      <c r="O3" s="81" t="s">
        <v>106</v>
      </c>
      <c r="P3">
        <v>4.9957676425922486</v>
      </c>
      <c r="Q3">
        <v>7.3671329333753697</v>
      </c>
      <c r="R3">
        <v>9.4824010953530458</v>
      </c>
      <c r="S3">
        <v>10.788445373712449</v>
      </c>
      <c r="T3">
        <v>10.176514299599633</v>
      </c>
      <c r="U3">
        <v>10.708626457869999</v>
      </c>
      <c r="V3">
        <v>9.3577187722686759</v>
      </c>
      <c r="W3">
        <v>9.1122398327561047</v>
      </c>
      <c r="X3">
        <v>6.80260413039914</v>
      </c>
      <c r="Y3">
        <v>4.4410681116370139</v>
      </c>
      <c r="Z3">
        <v>3.6304993794931217</v>
      </c>
      <c r="AA3">
        <v>3.7176567206125295</v>
      </c>
      <c r="AB3" t="s">
        <v>104</v>
      </c>
      <c r="AC3" s="81" t="s">
        <v>106</v>
      </c>
      <c r="AD3">
        <f t="shared" ref="AD3:AD13" si="0">$P3*100/$P45</f>
        <v>72.18717451682511</v>
      </c>
      <c r="AE3">
        <f t="shared" ref="AE3:AE12" si="1">$Q3*100/$Q45</f>
        <v>71.444513345827872</v>
      </c>
      <c r="AF3">
        <f t="shared" ref="AF3:AF12" si="2">$R3*100/$R45</f>
        <v>66.047027358958601</v>
      </c>
      <c r="AG3">
        <f t="shared" ref="AG3:AG12" si="3">$S3*100/$S45</f>
        <v>61.357864504558812</v>
      </c>
      <c r="AH3">
        <f t="shared" ref="AH3:AH12" si="4">$T3*100/$T45</f>
        <v>55.081394036833395</v>
      </c>
      <c r="AI3">
        <f t="shared" ref="AI3:AI13" si="5">$U3*100/$U45</f>
        <v>54.524513397840131</v>
      </c>
      <c r="AJ3">
        <f t="shared" ref="AJ3:AJ12" si="6">$V3*100/$V45</f>
        <v>52.072809471166011</v>
      </c>
      <c r="AK3">
        <f t="shared" ref="AK3:AK12" si="7">$W3*100/$W45</f>
        <v>55.129292053676338</v>
      </c>
      <c r="AL3">
        <f t="shared" ref="AL3:AL12" si="8">$X3*100/$X45</f>
        <v>54.610274217101441</v>
      </c>
      <c r="AM3">
        <f t="shared" ref="AM3:AM12" si="9">$Y3*100/$Y45</f>
        <v>55.683265195513947</v>
      </c>
      <c r="AN3">
        <f t="shared" ref="AN3:AN12" si="10">$Z3*100/$Z45</f>
        <v>61.824058074448835</v>
      </c>
      <c r="AO3">
        <f t="shared" ref="AO3:AO12" si="11">$AA3*100/$AA45</f>
        <v>68.770658938635307</v>
      </c>
    </row>
    <row r="4" spans="1:41" x14ac:dyDescent="0.25">
      <c r="A4" s="87" t="str">
        <f>"HTBeam at Beta = " &amp; HTBar!B14</f>
        <v>HTBeam at Beta = 9</v>
      </c>
      <c r="B4" s="88">
        <f>HTBar!$E$3*(1-HTBar!$E$10)*HTBar!$E14</f>
        <v>4.9957676425922486</v>
      </c>
      <c r="C4" s="88">
        <f>HTBar!$F$3*(1-HTBar!$F$10)*HTBar!$F14</f>
        <v>7.3671329333753697</v>
      </c>
      <c r="D4" s="88">
        <f>HTBar!$G$3*(1-HTBar!$G$10)*HTBar!$G14</f>
        <v>9.4824010953530458</v>
      </c>
      <c r="E4" s="88">
        <f>HTBar!$H$3*(1-HTBar!$H$10)*HTBar!$H14</f>
        <v>10.788445373712449</v>
      </c>
      <c r="F4" s="88">
        <f>HTBar!$I$3*(1-HTBar!$I$10)*HTBar!$I14</f>
        <v>10.176514299599633</v>
      </c>
      <c r="G4" s="88">
        <f>HTBar!$J$3*(1-HTBar!$J$10)*HTBar!$J14</f>
        <v>10.708626457869999</v>
      </c>
      <c r="H4" s="88">
        <f>HTBar!$K$3*(1-HTBar!$K$10)*HTBar!$K14</f>
        <v>9.3577187722686759</v>
      </c>
      <c r="I4" s="88">
        <f>HTBar!$L$3*(1-HTBar!$L$10)*HTBar!$L14</f>
        <v>9.1122398327561047</v>
      </c>
      <c r="J4" s="88">
        <f>HTBar!$M$3*(1-HTBar!$M$10)*HTBar!$M14</f>
        <v>6.80260413039914</v>
      </c>
      <c r="K4" s="88">
        <f>HTBar!$N$3*(1-HTBar!$N$10)*HTBar!$N14</f>
        <v>4.4410681116370139</v>
      </c>
      <c r="L4" s="88">
        <f>HTBar!$O$3*(1-HTBar!$O$10)*HTBar!$O14</f>
        <v>3.6304993794931217</v>
      </c>
      <c r="M4" s="88">
        <f>HTBar!$P$3*(1-HTBar!$P$10)*HTBar!$P14</f>
        <v>3.7176567206125295</v>
      </c>
      <c r="N4" s="94"/>
      <c r="O4" s="81" t="s">
        <v>107</v>
      </c>
      <c r="P4">
        <v>5.5499825432391594</v>
      </c>
      <c r="Q4">
        <v>7.9473755681997886</v>
      </c>
      <c r="R4">
        <v>9.9359805241767329</v>
      </c>
      <c r="S4">
        <v>11.021164794839775</v>
      </c>
      <c r="T4">
        <v>10.223576592998702</v>
      </c>
      <c r="U4">
        <v>10.681397736565987</v>
      </c>
      <c r="V4">
        <v>9.3633525277135146</v>
      </c>
      <c r="W4">
        <v>9.2397015315201134</v>
      </c>
      <c r="X4">
        <v>7.0519609231594638</v>
      </c>
      <c r="Y4">
        <v>4.7424014808245047</v>
      </c>
      <c r="Z4">
        <v>4.0000123611194107</v>
      </c>
      <c r="AA4">
        <v>4.1701101983520843</v>
      </c>
      <c r="AC4" s="81" t="s">
        <v>107</v>
      </c>
      <c r="AD4">
        <f t="shared" si="0"/>
        <v>74.264497726495748</v>
      </c>
      <c r="AE4">
        <f t="shared" si="1"/>
        <v>72.984259873562181</v>
      </c>
      <c r="AF4">
        <f t="shared" si="2"/>
        <v>67.109009754151273</v>
      </c>
      <c r="AG4">
        <f t="shared" si="3"/>
        <v>61.908951649694167</v>
      </c>
      <c r="AH4">
        <f t="shared" si="4"/>
        <v>55.290895081946459</v>
      </c>
      <c r="AI4">
        <f t="shared" si="5"/>
        <v>54.554381641246124</v>
      </c>
      <c r="AJ4">
        <f t="shared" si="6"/>
        <v>52.182907142477134</v>
      </c>
      <c r="AK4">
        <f t="shared" si="7"/>
        <v>55.568287941528396</v>
      </c>
      <c r="AL4">
        <f t="shared" si="8"/>
        <v>55.595379040080395</v>
      </c>
      <c r="AM4">
        <f t="shared" si="9"/>
        <v>57.39329236445657</v>
      </c>
      <c r="AN4">
        <f t="shared" si="10"/>
        <v>64.14578748816983</v>
      </c>
      <c r="AO4">
        <f t="shared" si="11"/>
        <v>71.215799778575587</v>
      </c>
    </row>
    <row r="5" spans="1:41" x14ac:dyDescent="0.25">
      <c r="A5" s="87" t="str">
        <f>"HTBeam at Beta = " &amp; HTBar!B15</f>
        <v>HTBeam at Beta = 12</v>
      </c>
      <c r="B5" s="88">
        <f>HTBar!$E$3*(1-HTBar!$E$10)*HTBar!$E15</f>
        <v>5.5499825432391594</v>
      </c>
      <c r="C5" s="88">
        <f>HTBar!$F$3*(1-HTBar!$F$10)*HTBar!$F15</f>
        <v>7.9473755681997886</v>
      </c>
      <c r="D5" s="88">
        <f>HTBar!$G$3*(1-HTBar!$G$10)*HTBar!$G15</f>
        <v>9.9359805241767329</v>
      </c>
      <c r="E5" s="88">
        <f>HTBar!$H$3*(1-HTBar!$H$10)*HTBar!$H15</f>
        <v>11.021164794839775</v>
      </c>
      <c r="F5" s="88">
        <f>HTBar!$I$3*(1-HTBar!$I$10)*HTBar!$I15</f>
        <v>10.223576592998702</v>
      </c>
      <c r="G5" s="88">
        <f>HTBar!$J$3*(1-HTBar!$J$10)*HTBar!$J15</f>
        <v>10.681397736565987</v>
      </c>
      <c r="H5" s="88">
        <f>HTBar!$K$3*(1-HTBar!$K$10)*HTBar!$K15</f>
        <v>9.3633525277135146</v>
      </c>
      <c r="I5" s="88">
        <f>HTBar!$L$3*(1-HTBar!$L$10)*HTBar!$L15</f>
        <v>9.2397015315201134</v>
      </c>
      <c r="J5" s="88">
        <f>HTBar!$M$3*(1-HTBar!$M$10)*HTBar!$M15</f>
        <v>7.0519609231594638</v>
      </c>
      <c r="K5" s="88">
        <f>HTBar!$N$3*(1-HTBar!$N$10)*HTBar!$N15</f>
        <v>4.7424014808245047</v>
      </c>
      <c r="L5" s="88">
        <f>HTBar!$O$3*(1-HTBar!$O$10)*HTBar!$O15</f>
        <v>4.0000123611194107</v>
      </c>
      <c r="M5" s="88">
        <f>HTBar!$P$3*(1-HTBar!$P$10)*HTBar!$P15</f>
        <v>4.1701101983520843</v>
      </c>
      <c r="N5" s="94"/>
      <c r="O5" s="81" t="s">
        <v>108</v>
      </c>
      <c r="P5">
        <v>7.1154908149766767</v>
      </c>
      <c r="Q5">
        <v>9.5513453564292536</v>
      </c>
      <c r="R5">
        <v>11.128719333259225</v>
      </c>
      <c r="S5">
        <v>11.54530384548943</v>
      </c>
      <c r="T5">
        <v>10.227954053399738</v>
      </c>
      <c r="U5">
        <v>10.473205706944066</v>
      </c>
      <c r="V5">
        <v>9.2626340219879992</v>
      </c>
      <c r="W5">
        <v>9.4843612907042409</v>
      </c>
      <c r="X5">
        <v>7.6819631613756307</v>
      </c>
      <c r="Y5">
        <v>5.5652866035666158</v>
      </c>
      <c r="Z5">
        <v>5.0388704814757741</v>
      </c>
      <c r="AA5">
        <v>5.4540901214928743</v>
      </c>
      <c r="AC5" s="81" t="s">
        <v>108</v>
      </c>
      <c r="AD5">
        <f t="shared" si="0"/>
        <v>78.783968030292911</v>
      </c>
      <c r="AE5">
        <f t="shared" si="1"/>
        <v>76.531840783470741</v>
      </c>
      <c r="AF5">
        <f t="shared" si="2"/>
        <v>69.660629028760042</v>
      </c>
      <c r="AG5">
        <f t="shared" si="3"/>
        <v>63.213119681779972</v>
      </c>
      <c r="AH5">
        <f t="shared" si="4"/>
        <v>55.751358111970575</v>
      </c>
      <c r="AI5">
        <f t="shared" si="5"/>
        <v>54.505415969641554</v>
      </c>
      <c r="AJ5">
        <f t="shared" si="6"/>
        <v>52.361974654898184</v>
      </c>
      <c r="AK5">
        <f t="shared" si="7"/>
        <v>56.662227409985981</v>
      </c>
      <c r="AL5">
        <f t="shared" si="8"/>
        <v>58.136181812475101</v>
      </c>
      <c r="AM5">
        <f t="shared" si="9"/>
        <v>61.694001003382219</v>
      </c>
      <c r="AN5">
        <f t="shared" si="10"/>
        <v>69.534144473591681</v>
      </c>
      <c r="AO5">
        <f t="shared" si="11"/>
        <v>76.529177560742212</v>
      </c>
    </row>
    <row r="6" spans="1:41" x14ac:dyDescent="0.25">
      <c r="A6" s="89" t="str">
        <f>"HTBeam at Beta = " &amp; HTBar!B16</f>
        <v>HTBeam at Beta = 15</v>
      </c>
      <c r="B6" s="88">
        <f>HTBar!$E$3*(1-HTBar!$E$10)*HTBar!$E16</f>
        <v>6.0889853275096089</v>
      </c>
      <c r="C6" s="88">
        <f>HTBar!$F$3*(1-HTBar!$F$10)*HTBar!$F16</f>
        <v>8.5058349990070727</v>
      </c>
      <c r="D6" s="88">
        <f>HTBar!$G$3*(1-HTBar!$G$10)*HTBar!$G16</f>
        <v>10.362326121025189</v>
      </c>
      <c r="E6" s="88">
        <f>HTBar!$H$3*(1-HTBar!$H$10)*HTBar!$H16</f>
        <v>11.225353444707647</v>
      </c>
      <c r="F6" s="88">
        <f>HTBar!$I$3*(1-HTBar!$I$10)*HTBar!$I16</f>
        <v>10.248267615283559</v>
      </c>
      <c r="G6" s="88">
        <f>HTBar!$J$3*(1-HTBar!$J$10)*HTBar!$J16</f>
        <v>10.633618676031947</v>
      </c>
      <c r="H6" s="88">
        <f>HTBar!$K$3*(1-HTBar!$K$10)*HTBar!$K16</f>
        <v>9.3498112266436237</v>
      </c>
      <c r="I6" s="88">
        <f>HTBar!$L$3*(1-HTBar!$L$10)*HTBar!$L16</f>
        <v>9.3445766042814551</v>
      </c>
      <c r="J6" s="88">
        <f>HTBar!$M$3*(1-HTBar!$M$10)*HTBar!$M16</f>
        <v>7.2820554781299629</v>
      </c>
      <c r="K6" s="88">
        <f>HTBar!$N$3*(1-HTBar!$N$10)*HTBar!$N16</f>
        <v>5.0307362571933405</v>
      </c>
      <c r="L6" s="88">
        <f>HTBar!$O$3*(1-HTBar!$O$10)*HTBar!$O16</f>
        <v>4.3585615869013177</v>
      </c>
      <c r="M6" s="88">
        <f>HTBar!$P$3*(1-HTBar!$P$10)*HTBar!$P16</f>
        <v>4.6111336938987586</v>
      </c>
      <c r="N6" s="94"/>
      <c r="O6" s="81" t="s">
        <v>109</v>
      </c>
      <c r="P6">
        <v>8.5057920878893594</v>
      </c>
      <c r="Q6">
        <v>10.920129322885577</v>
      </c>
      <c r="R6">
        <v>12.047432138254933</v>
      </c>
      <c r="S6">
        <v>11.796450299303803</v>
      </c>
      <c r="T6">
        <v>10.018055375271402</v>
      </c>
      <c r="U6">
        <v>10.06458082116329</v>
      </c>
      <c r="V6">
        <v>8.976765157355926</v>
      </c>
      <c r="W6">
        <v>9.5138446687101457</v>
      </c>
      <c r="X6">
        <v>8.123260464650226</v>
      </c>
      <c r="Y6">
        <v>6.251135900001616</v>
      </c>
      <c r="Z6">
        <v>5.9536548875258521</v>
      </c>
      <c r="AA6">
        <v>6.6037722447551781</v>
      </c>
      <c r="AC6" s="81" t="s">
        <v>109</v>
      </c>
      <c r="AD6">
        <f t="shared" si="0"/>
        <v>81.698875091213665</v>
      </c>
      <c r="AE6">
        <f t="shared" si="1"/>
        <v>78.96291594514436</v>
      </c>
      <c r="AF6">
        <f t="shared" si="2"/>
        <v>71.456971098361024</v>
      </c>
      <c r="AG6">
        <f t="shared" si="3"/>
        <v>64.038517608388574</v>
      </c>
      <c r="AH6">
        <f t="shared" si="4"/>
        <v>55.93698606435126</v>
      </c>
      <c r="AI6">
        <f t="shared" si="5"/>
        <v>54.199197602398378</v>
      </c>
      <c r="AJ6">
        <f t="shared" si="6"/>
        <v>52.276078976976599</v>
      </c>
      <c r="AK6">
        <f t="shared" si="7"/>
        <v>57.433590109239795</v>
      </c>
      <c r="AL6">
        <f t="shared" si="8"/>
        <v>60.161632529676204</v>
      </c>
      <c r="AM6">
        <f t="shared" si="9"/>
        <v>65.061876537164935</v>
      </c>
      <c r="AN6">
        <f t="shared" si="10"/>
        <v>73.331123711227804</v>
      </c>
      <c r="AO6">
        <f t="shared" si="11"/>
        <v>79.976474272291043</v>
      </c>
    </row>
    <row r="7" spans="1:41" x14ac:dyDescent="0.25">
      <c r="A7" s="89" t="str">
        <f>"HTBeam at Beta = " &amp; HTBar!B17</f>
        <v>HTBeam at Beta = 18</v>
      </c>
      <c r="B7" s="88">
        <f>HTBar!$E$3*(1-HTBar!$E$10)*HTBar!$E17</f>
        <v>6.6112986262375353</v>
      </c>
      <c r="C7" s="88">
        <f>HTBar!$F$3*(1-HTBar!$F$10)*HTBar!$F17</f>
        <v>9.0409805273154209</v>
      </c>
      <c r="D7" s="88">
        <f>HTBar!$G$3*(1-HTBar!$G$10)*HTBar!$G17</f>
        <v>10.76026930225237</v>
      </c>
      <c r="E7" s="88">
        <f>HTBar!$H$3*(1-HTBar!$H$10)*HTBar!$H17</f>
        <v>11.400273804158234</v>
      </c>
      <c r="F7" s="88">
        <f>HTBar!$I$3*(1-HTBar!$I$10)*HTBar!$I17</f>
        <v>10.249894041025016</v>
      </c>
      <c r="G7" s="88">
        <f>HTBar!$J$3*(1-HTBar!$J$10)*HTBar!$J17</f>
        <v>10.564421001908338</v>
      </c>
      <c r="H7" s="88">
        <f>HTBar!$K$3*(1-HTBar!$K$10)*HTBar!$K17</f>
        <v>9.3164008897975616</v>
      </c>
      <c r="I7" s="88">
        <f>HTBar!$L$3*(1-HTBar!$L$10)*HTBar!$L17</f>
        <v>9.4262830158807596</v>
      </c>
      <c r="J7" s="88">
        <f>HTBar!$M$3*(1-HTBar!$M$10)*HTBar!$M17</f>
        <v>7.4922501378322552</v>
      </c>
      <c r="K7" s="88">
        <f>HTBar!$N$3*(1-HTBar!$N$10)*HTBar!$N17</f>
        <v>5.3052821351633987</v>
      </c>
      <c r="L7" s="88">
        <f>HTBar!$O$3*(1-HTBar!$O$10)*HTBar!$O17</f>
        <v>4.7051642983334325</v>
      </c>
      <c r="M7" s="88">
        <f>HTBar!$P$3*(1-HTBar!$P$10)*HTBar!$P17</f>
        <v>5.0395183925064337</v>
      </c>
      <c r="N7" s="94"/>
      <c r="O7" s="81" t="s">
        <v>110</v>
      </c>
      <c r="P7">
        <v>9.3182129997287024</v>
      </c>
      <c r="Q7">
        <v>11.685084811898658</v>
      </c>
      <c r="R7">
        <v>12.496203770794475</v>
      </c>
      <c r="S7">
        <v>11.807787460349141</v>
      </c>
      <c r="T7">
        <v>9.7576512796277459</v>
      </c>
      <c r="U7">
        <v>9.6796777369761493</v>
      </c>
      <c r="V7">
        <v>8.682256358378746</v>
      </c>
      <c r="W7">
        <v>9.4115790927054164</v>
      </c>
      <c r="X7">
        <v>8.3070132111618449</v>
      </c>
      <c r="Y7">
        <v>6.6237460387207454</v>
      </c>
      <c r="Z7">
        <v>6.4833148153456044</v>
      </c>
      <c r="AA7">
        <v>7.2814796103031725</v>
      </c>
      <c r="AC7" s="81" t="s">
        <v>110</v>
      </c>
      <c r="AD7">
        <f t="shared" si="0"/>
        <v>83.091078499776728</v>
      </c>
      <c r="AE7">
        <f t="shared" si="1"/>
        <v>80.15625434226196</v>
      </c>
      <c r="AF7">
        <f t="shared" si="2"/>
        <v>72.319148174185798</v>
      </c>
      <c r="AG7">
        <f t="shared" si="3"/>
        <v>64.338624789086126</v>
      </c>
      <c r="AH7">
        <f t="shared" si="4"/>
        <v>55.891419088242642</v>
      </c>
      <c r="AI7">
        <f t="shared" si="5"/>
        <v>53.821063064111364</v>
      </c>
      <c r="AJ7">
        <f t="shared" si="6"/>
        <v>52.04681643161183</v>
      </c>
      <c r="AK7">
        <f t="shared" si="7"/>
        <v>57.770180292896242</v>
      </c>
      <c r="AL7">
        <f t="shared" si="8"/>
        <v>61.273204222501477</v>
      </c>
      <c r="AM7">
        <f t="shared" si="9"/>
        <v>66.924481830994864</v>
      </c>
      <c r="AN7">
        <f t="shared" si="10"/>
        <v>75.276809115443129</v>
      </c>
      <c r="AO7">
        <f t="shared" si="11"/>
        <v>81.644467496773871</v>
      </c>
    </row>
    <row r="8" spans="1:41" x14ac:dyDescent="0.25">
      <c r="A8" s="87" t="str">
        <f>"HTBeam at Beta = " &amp; HTBar!B18</f>
        <v>HTBeam at Beta = 21</v>
      </c>
      <c r="B8" s="88">
        <f>HTBar!$E$3*(1-HTBar!$E$10)*HTBar!$E18</f>
        <v>7.1154908149766767</v>
      </c>
      <c r="C8" s="88">
        <f>HTBar!$F$3*(1-HTBar!$F$10)*HTBar!$F18</f>
        <v>9.5513453564292536</v>
      </c>
      <c r="D8" s="88">
        <f>HTBar!$G$3*(1-HTBar!$G$10)*HTBar!$G18</f>
        <v>11.128719333259225</v>
      </c>
      <c r="E8" s="88">
        <f>HTBar!$H$3*(1-HTBar!$H$10)*HTBar!$H18</f>
        <v>11.54530384548943</v>
      </c>
      <c r="F8" s="88">
        <f>HTBar!$I$3*(1-HTBar!$I$10)*HTBar!$I18</f>
        <v>10.227954053399738</v>
      </c>
      <c r="G8" s="88">
        <f>HTBar!$J$3*(1-HTBar!$J$10)*HTBar!$J18</f>
        <v>10.473205706944066</v>
      </c>
      <c r="H8" s="88">
        <f>HTBar!$K$3*(1-HTBar!$K$10)*HTBar!$K18</f>
        <v>9.2626340219879992</v>
      </c>
      <c r="I8" s="88">
        <f>HTBar!$L$3*(1-HTBar!$L$10)*HTBar!$L18</f>
        <v>9.4843612907042409</v>
      </c>
      <c r="J8" s="88">
        <f>HTBar!$M$3*(1-HTBar!$M$10)*HTBar!$M18</f>
        <v>7.6819631613756307</v>
      </c>
      <c r="K8" s="88">
        <f>HTBar!$N$3*(1-HTBar!$N$10)*HTBar!$N18</f>
        <v>5.5652866035666158</v>
      </c>
      <c r="L8" s="88">
        <f>HTBar!$O$3*(1-HTBar!$O$10)*HTBar!$O18</f>
        <v>5.0388704814757741</v>
      </c>
      <c r="M8" s="88">
        <f>HTBar!$P$3*(1-HTBar!$P$10)*HTBar!$P18</f>
        <v>5.4540901214928743</v>
      </c>
      <c r="N8" s="94"/>
      <c r="O8" s="81" t="s">
        <v>111</v>
      </c>
      <c r="P8">
        <v>10.885914367624295</v>
      </c>
      <c r="Q8">
        <v>13.022505047952858</v>
      </c>
      <c r="R8">
        <v>13.012092572303223</v>
      </c>
      <c r="S8">
        <v>11.289122886206899</v>
      </c>
      <c r="T8">
        <v>8.6998959635095527</v>
      </c>
      <c r="U8">
        <v>8.3441118151017335</v>
      </c>
      <c r="V8">
        <v>7.5984065334984994</v>
      </c>
      <c r="W8">
        <v>8.735550821380631</v>
      </c>
      <c r="X8">
        <v>8.3668956993504509</v>
      </c>
      <c r="Y8">
        <v>7.2308081275939422</v>
      </c>
      <c r="Z8">
        <v>7.4859319587339463</v>
      </c>
      <c r="AA8">
        <v>8.6126482968853146</v>
      </c>
      <c r="AC8" s="81" t="s">
        <v>111</v>
      </c>
      <c r="AD8">
        <f t="shared" si="0"/>
        <v>85.356755665926499</v>
      </c>
      <c r="AE8">
        <f t="shared" si="1"/>
        <v>82.092277176431566</v>
      </c>
      <c r="AF8">
        <f t="shared" si="2"/>
        <v>73.502153102534777</v>
      </c>
      <c r="AG8">
        <f t="shared" si="3"/>
        <v>64.205250713227841</v>
      </c>
      <c r="AH8">
        <f t="shared" si="4"/>
        <v>55.067099430218697</v>
      </c>
      <c r="AI8">
        <f t="shared" si="5"/>
        <v>52.086835739805686</v>
      </c>
      <c r="AJ8">
        <f t="shared" si="6"/>
        <v>50.720634325193096</v>
      </c>
      <c r="AK8">
        <f t="shared" si="7"/>
        <v>57.945245542928213</v>
      </c>
      <c r="AL8">
        <f t="shared" si="8"/>
        <v>63.331896144440393</v>
      </c>
      <c r="AM8">
        <f t="shared" si="9"/>
        <v>70.599668454778779</v>
      </c>
      <c r="AN8">
        <f t="shared" si="10"/>
        <v>78.78176544461337</v>
      </c>
      <c r="AO8">
        <f t="shared" si="11"/>
        <v>84.452470964206938</v>
      </c>
    </row>
    <row r="9" spans="1:41" x14ac:dyDescent="0.25">
      <c r="A9" s="89" t="str">
        <f>"HTBeam at Beta = " &amp; HTBar!B19</f>
        <v>HTBeam at Beta = 24</v>
      </c>
      <c r="B9" s="88">
        <f>HTBar!$E$3*(1-HTBar!$E$10)*HTBar!$E19</f>
        <v>7.6001799379836701</v>
      </c>
      <c r="C9" s="88">
        <f>HTBar!$F$3*(1-HTBar!$F$10)*HTBar!$F19</f>
        <v>10.035530611826982</v>
      </c>
      <c r="D9" s="88">
        <f>HTBar!$G$3*(1-HTBar!$G$10)*HTBar!$G19</f>
        <v>11.466666318121415</v>
      </c>
      <c r="E9" s="88">
        <f>HTBar!$H$3*(1-HTBar!$H$10)*HTBar!$H19</f>
        <v>11.659931052206927</v>
      </c>
      <c r="F9" s="88">
        <f>HTBar!$I$3*(1-HTBar!$I$10)*HTBar!$I19</f>
        <v>10.182109409413808</v>
      </c>
      <c r="G9" s="88">
        <f>HTBar!$J$3*(1-HTBar!$J$10)*HTBar!$J19</f>
        <v>10.359594702217638</v>
      </c>
      <c r="H9" s="88">
        <f>HTBar!$K$3*(1-HTBar!$K$10)*HTBar!$K19</f>
        <v>9.1881955230542971</v>
      </c>
      <c r="I9" s="88">
        <f>HTBar!$L$3*(1-HTBar!$L$10)*HTBar!$L19</f>
        <v>9.5184627038328227</v>
      </c>
      <c r="J9" s="88">
        <f>HTBar!$M$3*(1-HTBar!$M$10)*HTBar!$M19</f>
        <v>7.8506700237968374</v>
      </c>
      <c r="K9" s="88">
        <f>HTBar!$N$3*(1-HTBar!$N$10)*HTBar!$N19</f>
        <v>5.8100370082277841</v>
      </c>
      <c r="L9" s="88">
        <f>HTBar!$O$3*(1-HTBar!$O$10)*HTBar!$O19</f>
        <v>5.3587654708759835</v>
      </c>
      <c r="M9" s="88">
        <f>HTBar!$P$3*(1-HTBar!$P$10)*HTBar!$P19</f>
        <v>5.8537125685654594</v>
      </c>
      <c r="N9" s="94"/>
      <c r="O9" s="81" t="s">
        <v>112</v>
      </c>
      <c r="P9">
        <v>11.112995760998851</v>
      </c>
      <c r="Q9">
        <v>13.185371580320078</v>
      </c>
      <c r="R9">
        <v>13.008922748079941</v>
      </c>
      <c r="S9">
        <v>11.093605299722698</v>
      </c>
      <c r="T9">
        <v>8.4227365435681456</v>
      </c>
      <c r="U9">
        <v>8.0181349769817789</v>
      </c>
      <c r="V9">
        <v>7.326244790080116</v>
      </c>
      <c r="W9">
        <v>8.5309269297318657</v>
      </c>
      <c r="X9">
        <v>8.3099935960484128</v>
      </c>
      <c r="Y9">
        <v>7.2938315296557512</v>
      </c>
      <c r="Z9">
        <v>7.6268333063212621</v>
      </c>
      <c r="AA9">
        <v>8.8106788707918202</v>
      </c>
      <c r="AC9" s="81" t="s">
        <v>112</v>
      </c>
      <c r="AD9">
        <f t="shared" si="0"/>
        <v>85.656742340993418</v>
      </c>
      <c r="AE9">
        <f t="shared" si="1"/>
        <v>82.336076449829733</v>
      </c>
      <c r="AF9">
        <f t="shared" si="2"/>
        <v>73.58593666281854</v>
      </c>
      <c r="AG9">
        <f t="shared" si="3"/>
        <v>64.01637726693086</v>
      </c>
      <c r="AH9">
        <f t="shared" si="4"/>
        <v>54.7554256688301</v>
      </c>
      <c r="AI9">
        <f t="shared" si="5"/>
        <v>51.569930124431494</v>
      </c>
      <c r="AJ9">
        <f t="shared" si="6"/>
        <v>50.296369176794855</v>
      </c>
      <c r="AK9">
        <f t="shared" si="7"/>
        <v>57.852013305788731</v>
      </c>
      <c r="AL9">
        <f t="shared" si="8"/>
        <v>63.62723002939461</v>
      </c>
      <c r="AM9">
        <f t="shared" si="9"/>
        <v>71.198553559450573</v>
      </c>
      <c r="AN9">
        <f t="shared" si="10"/>
        <v>79.306870448272363</v>
      </c>
      <c r="AO9">
        <f t="shared" si="11"/>
        <v>84.845718387631919</v>
      </c>
    </row>
    <row r="10" spans="1:41" x14ac:dyDescent="0.25">
      <c r="A10" s="89" t="str">
        <f>"HTBeam at Beta = " &amp; HTBar!B20</f>
        <v>HTBeam at Beta = 27</v>
      </c>
      <c r="B10" s="88">
        <f>HTBar!$E$3*(1-HTBar!$E$10)*HTBar!$E20</f>
        <v>8.0640374960626815</v>
      </c>
      <c r="C10" s="88">
        <f>HTBar!$F$3*(1-HTBar!$F$10)*HTBar!$F20</f>
        <v>10.492209175378877</v>
      </c>
      <c r="D10" s="88">
        <f>HTBar!$G$3*(1-HTBar!$G$10)*HTBar!$G20</f>
        <v>11.773183967643838</v>
      </c>
      <c r="E10" s="88">
        <f>HTBar!$H$3*(1-HTBar!$H$10)*HTBar!$H20</f>
        <v>11.74374819867406</v>
      </c>
      <c r="F10" s="88">
        <f>HTBar!$I$3*(1-HTBar!$I$10)*HTBar!$I20</f>
        <v>10.112165278677258</v>
      </c>
      <c r="G10" s="88">
        <f>HTBar!$J$3*(1-HTBar!$J$10)*HTBar!$J20</f>
        <v>10.223396428102346</v>
      </c>
      <c r="H10" s="88">
        <f>HTBar!$K$3*(1-HTBar!$K$10)*HTBar!$K20</f>
        <v>9.0929182582191554</v>
      </c>
      <c r="I10" s="88">
        <f>HTBar!$L$3*(1-HTBar!$L$10)*HTBar!$L20</f>
        <v>9.5283407230906043</v>
      </c>
      <c r="J10" s="88">
        <f>HTBar!$M$3*(1-HTBar!$M$10)*HTBar!$M20</f>
        <v>7.997904636744761</v>
      </c>
      <c r="K10" s="88">
        <f>HTBar!$N$3*(1-HTBar!$N$10)*HTBar!$N20</f>
        <v>6.0388625053001199</v>
      </c>
      <c r="L10" s="88">
        <f>HTBar!$O$3*(1-HTBar!$O$10)*HTBar!$O20</f>
        <v>5.6639724566037444</v>
      </c>
      <c r="M10" s="88">
        <f>HTBar!$P$3*(1-HTBar!$P$10)*HTBar!$P20</f>
        <v>6.2372903963741786</v>
      </c>
      <c r="N10" s="94"/>
      <c r="O10" s="81" t="s">
        <v>113</v>
      </c>
      <c r="P10">
        <v>11.71175866119037</v>
      </c>
      <c r="Q10">
        <v>13.472463085696196</v>
      </c>
      <c r="R10">
        <v>12.641228768509201</v>
      </c>
      <c r="S10">
        <v>10.022978068743178</v>
      </c>
      <c r="T10">
        <v>7.1210713458681862</v>
      </c>
      <c r="U10">
        <v>6.5486758514074879</v>
      </c>
      <c r="V10">
        <v>6.0783820706828733</v>
      </c>
      <c r="W10">
        <v>7.4995984205659925</v>
      </c>
      <c r="X10">
        <v>7.8574631964284922</v>
      </c>
      <c r="Y10">
        <v>7.3451025920470343</v>
      </c>
      <c r="Z10">
        <v>7.9783952102220583</v>
      </c>
      <c r="AA10">
        <v>9.3568792351089964</v>
      </c>
      <c r="AC10" s="81" t="s">
        <v>113</v>
      </c>
      <c r="AD10">
        <f t="shared" si="0"/>
        <v>86.473908582655113</v>
      </c>
      <c r="AE10">
        <f t="shared" si="1"/>
        <v>82.91390966498453</v>
      </c>
      <c r="AF10">
        <f t="shared" si="2"/>
        <v>73.418549541258542</v>
      </c>
      <c r="AG10">
        <f t="shared" si="3"/>
        <v>62.621015922921444</v>
      </c>
      <c r="AH10">
        <f t="shared" si="4"/>
        <v>52.848413385217249</v>
      </c>
      <c r="AI10">
        <f t="shared" si="5"/>
        <v>48.710250532778026</v>
      </c>
      <c r="AJ10">
        <f t="shared" si="6"/>
        <v>47.873466166250928</v>
      </c>
      <c r="AK10">
        <f t="shared" si="7"/>
        <v>56.940797452169498</v>
      </c>
      <c r="AL10">
        <f t="shared" si="8"/>
        <v>64.411658428963776</v>
      </c>
      <c r="AM10">
        <f t="shared" si="9"/>
        <v>73.222350532400398</v>
      </c>
      <c r="AN10">
        <f t="shared" si="10"/>
        <v>80.962466536118299</v>
      </c>
      <c r="AO10">
        <f t="shared" si="11"/>
        <v>86.011044604495581</v>
      </c>
    </row>
    <row r="11" spans="1:41" x14ac:dyDescent="0.25">
      <c r="A11" s="87" t="str">
        <f>"HTBeam at Beta = " &amp; HTBar!B21</f>
        <v>HTBeam at Beta = 30</v>
      </c>
      <c r="B11" s="88">
        <f>HTBar!$E$3*(1-HTBar!$E$10)*HTBar!$E21</f>
        <v>8.5057920878893594</v>
      </c>
      <c r="C11" s="88">
        <f>HTBar!$F$3*(1-HTBar!$F$10)*HTBar!$F21</f>
        <v>10.920129322885577</v>
      </c>
      <c r="D11" s="88">
        <f>HTBar!$G$3*(1-HTBar!$G$10)*HTBar!$G21</f>
        <v>12.047432138254933</v>
      </c>
      <c r="E11" s="88">
        <f>HTBar!$H$3*(1-HTBar!$H$10)*HTBar!$H21</f>
        <v>11.796450299303803</v>
      </c>
      <c r="F11" s="88">
        <f>HTBar!$I$3*(1-HTBar!$I$10)*HTBar!$I21</f>
        <v>10.018055375271402</v>
      </c>
      <c r="G11" s="88">
        <f>HTBar!$J$3*(1-HTBar!$J$10)*HTBar!$J21</f>
        <v>10.06458082116329</v>
      </c>
      <c r="H11" s="88">
        <f>HTBar!$K$3*(1-HTBar!$K$10)*HTBar!$K21</f>
        <v>8.976765157355926</v>
      </c>
      <c r="I11" s="88">
        <f>HTBar!$L$3*(1-HTBar!$L$10)*HTBar!$L21</f>
        <v>9.5138446687101457</v>
      </c>
      <c r="J11" s="88">
        <f>HTBar!$M$3*(1-HTBar!$M$10)*HTBar!$M21</f>
        <v>8.123260464650226</v>
      </c>
      <c r="K11" s="88">
        <f>HTBar!$N$3*(1-HTBar!$N$10)*HTBar!$N21</f>
        <v>6.251135900001616</v>
      </c>
      <c r="L11" s="88">
        <f>HTBar!$O$3*(1-HTBar!$O$10)*HTBar!$O21</f>
        <v>5.9536548875258521</v>
      </c>
      <c r="M11" s="88">
        <f>HTBar!$P$3*(1-HTBar!$P$10)*HTBar!$P21</f>
        <v>6.6037722447551781</v>
      </c>
      <c r="N11" s="94"/>
      <c r="O11" s="81" t="s">
        <v>114</v>
      </c>
      <c r="P11">
        <v>11.782006695486752</v>
      </c>
      <c r="Q11">
        <v>13.45215841371707</v>
      </c>
      <c r="R11">
        <v>12.461811728267682</v>
      </c>
      <c r="S11">
        <v>9.6870013952121852</v>
      </c>
      <c r="T11">
        <v>6.7523688668513815</v>
      </c>
      <c r="U11">
        <v>6.1457496921535624</v>
      </c>
      <c r="V11">
        <v>5.7314757826764131</v>
      </c>
      <c r="W11">
        <v>7.1923384284187328</v>
      </c>
      <c r="X11">
        <v>7.6896569254373004</v>
      </c>
      <c r="Y11">
        <v>7.3075390099440183</v>
      </c>
      <c r="Z11">
        <v>8.012069975557397</v>
      </c>
      <c r="AA11">
        <v>9.4300769581863868</v>
      </c>
      <c r="AC11" s="81" t="s">
        <v>114</v>
      </c>
      <c r="AD11">
        <f t="shared" si="0"/>
        <v>86.592887336208051</v>
      </c>
      <c r="AE11">
        <f t="shared" si="1"/>
        <v>82.96415701302719</v>
      </c>
      <c r="AF11">
        <f t="shared" si="2"/>
        <v>73.245245383639343</v>
      </c>
      <c r="AG11">
        <f t="shared" si="3"/>
        <v>62.087301621804023</v>
      </c>
      <c r="AH11">
        <f t="shared" si="4"/>
        <v>52.166632104396648</v>
      </c>
      <c r="AI11">
        <f t="shared" si="5"/>
        <v>47.746177461944981</v>
      </c>
      <c r="AJ11">
        <f t="shared" si="6"/>
        <v>47.041716718599929</v>
      </c>
      <c r="AK11">
        <f t="shared" si="7"/>
        <v>56.551112817315435</v>
      </c>
      <c r="AL11">
        <f t="shared" si="8"/>
        <v>64.501211275913647</v>
      </c>
      <c r="AM11">
        <f t="shared" si="9"/>
        <v>73.642203284648545</v>
      </c>
      <c r="AN11">
        <f t="shared" si="10"/>
        <v>81.277615373497994</v>
      </c>
      <c r="AO11">
        <f t="shared" si="11"/>
        <v>86.213602884231946</v>
      </c>
    </row>
    <row r="12" spans="1:41" x14ac:dyDescent="0.25">
      <c r="A12" s="89" t="str">
        <f>"HTBeam at Beta = " &amp; HTBar!B22</f>
        <v>HTBeam at Beta = 33</v>
      </c>
      <c r="B12" s="88">
        <f>HTBar!$E$3*(1-HTBar!$E$10)*HTBar!$E22</f>
        <v>8.9242328948334873</v>
      </c>
      <c r="C12" s="88">
        <f>HTBar!$F$3*(1-HTBar!$F$10)*HTBar!$F22</f>
        <v>11.318118154967125</v>
      </c>
      <c r="D12" s="88">
        <f>HTBar!$G$3*(1-HTBar!$G$10)*HTBar!$G22</f>
        <v>12.28865913478181</v>
      </c>
      <c r="E12" s="88">
        <f>HTBar!$H$3*(1-HTBar!$H$10)*HTBar!$H22</f>
        <v>11.817832331218384</v>
      </c>
      <c r="F12" s="88">
        <f>HTBar!$I$3*(1-HTBar!$I$10)*HTBar!$I22</f>
        <v>9.8998307660635092</v>
      </c>
      <c r="G12" s="88">
        <f>HTBar!$J$3*(1-HTBar!$J$10)*HTBar!$J22</f>
        <v>9.8832607107336781</v>
      </c>
      <c r="H12" s="88">
        <f>HTBar!$K$3*(1-HTBar!$K$10)*HTBar!$K22</f>
        <v>8.8398158284717834</v>
      </c>
      <c r="I12" s="88">
        <f>HTBar!$L$3*(1-HTBar!$L$10)*HTBar!$L22</f>
        <v>9.4749149039967264</v>
      </c>
      <c r="J12" s="88">
        <f>HTBar!$M$3*(1-HTBar!$M$10)*HTBar!$M22</f>
        <v>8.2263915180906011</v>
      </c>
      <c r="K12" s="88">
        <f>HTBar!$N$3*(1-HTBar!$N$10)*HTBar!$N22</f>
        <v>6.4462753657123359</v>
      </c>
      <c r="L12" s="88">
        <f>HTBar!$O$3*(1-HTBar!$O$10)*HTBar!$O22</f>
        <v>6.2270187642347281</v>
      </c>
      <c r="M12" s="88">
        <f>HTBar!$P$3*(1-HTBar!$P$10)*HTBar!$P22</f>
        <v>6.9521536124358807</v>
      </c>
      <c r="N12" s="94"/>
      <c r="O12" s="81" t="s">
        <v>115</v>
      </c>
      <c r="P12">
        <v>11.81996106838805</v>
      </c>
      <c r="Q12">
        <v>13.394982310574012</v>
      </c>
      <c r="R12">
        <v>12.248237728288894</v>
      </c>
      <c r="S12">
        <v>9.3255233005797358</v>
      </c>
      <c r="T12">
        <v>6.3686282929553686</v>
      </c>
      <c r="U12">
        <v>5.7312559316916847</v>
      </c>
      <c r="V12">
        <v>5.3728132825200641</v>
      </c>
      <c r="W12">
        <v>6.8670681642526983</v>
      </c>
      <c r="X12">
        <v>7.5008158140264412</v>
      </c>
      <c r="Y12">
        <v>7.2499459713555545</v>
      </c>
      <c r="Z12">
        <v>8.0237842140018909</v>
      </c>
      <c r="AA12">
        <v>9.477427495798004</v>
      </c>
      <c r="AC12" s="81" t="s">
        <v>115</v>
      </c>
      <c r="AD12">
        <f t="shared" si="0"/>
        <v>86.680304530415384</v>
      </c>
      <c r="AE12">
        <f t="shared" si="1"/>
        <v>82.977285038212457</v>
      </c>
      <c r="AF12">
        <f t="shared" si="2"/>
        <v>73.015084678150259</v>
      </c>
      <c r="AG12">
        <f t="shared" si="3"/>
        <v>61.466140140337522</v>
      </c>
      <c r="AH12">
        <f t="shared" si="4"/>
        <v>51.38127268120374</v>
      </c>
      <c r="AI12">
        <f t="shared" si="5"/>
        <v>46.655251149642289</v>
      </c>
      <c r="AJ12">
        <f t="shared" si="6"/>
        <v>46.095874052093407</v>
      </c>
      <c r="AK12">
        <f t="shared" si="7"/>
        <v>56.081676991377762</v>
      </c>
      <c r="AL12">
        <f t="shared" si="8"/>
        <v>64.543279002335012</v>
      </c>
      <c r="AM12">
        <f t="shared" si="9"/>
        <v>74.029132759274091</v>
      </c>
      <c r="AN12">
        <f t="shared" si="10"/>
        <v>81.55659905469993</v>
      </c>
      <c r="AO12">
        <f t="shared" si="11"/>
        <v>86.384183814518323</v>
      </c>
    </row>
    <row r="13" spans="1:41" x14ac:dyDescent="0.25">
      <c r="A13" s="87" t="str">
        <f>"HTBeam at Beta = " &amp; HTBar!B23</f>
        <v>HTBeam at Beta = 36</v>
      </c>
      <c r="B13" s="88">
        <f>HTBar!$E$3*(1-HTBar!$E$10)*HTBar!$E23</f>
        <v>9.3182129997287024</v>
      </c>
      <c r="C13" s="88">
        <f>HTBar!$F$3*(1-HTBar!$F$10)*HTBar!$F23</f>
        <v>11.685084811898658</v>
      </c>
      <c r="D13" s="88">
        <f>HTBar!$G$3*(1-HTBar!$G$10)*HTBar!$G23</f>
        <v>12.496203770794475</v>
      </c>
      <c r="E13" s="88">
        <f>HTBar!$H$3*(1-HTBar!$H$10)*HTBar!$H23</f>
        <v>11.807787460349141</v>
      </c>
      <c r="F13" s="88">
        <f>HTBar!$I$3*(1-HTBar!$I$10)*HTBar!$I23</f>
        <v>9.7576512796277459</v>
      </c>
      <c r="G13" s="88">
        <f>HTBar!$J$3*(1-HTBar!$J$10)*HTBar!$J23</f>
        <v>9.6796777369761493</v>
      </c>
      <c r="H13" s="88">
        <f>HTBar!$K$3*(1-HTBar!$K$10)*HTBar!$K23</f>
        <v>8.682256358378746</v>
      </c>
      <c r="I13" s="88">
        <f>HTBar!$L$3*(1-HTBar!$L$10)*HTBar!$L23</f>
        <v>9.4115790927054164</v>
      </c>
      <c r="J13" s="88">
        <f>HTBar!$M$3*(1-HTBar!$M$10)*HTBar!$M23</f>
        <v>8.3070132111618449</v>
      </c>
      <c r="K13" s="88">
        <f>HTBar!$N$3*(1-HTBar!$N$10)*HTBar!$N23</f>
        <v>6.6237460387207454</v>
      </c>
      <c r="L13" s="88">
        <f>HTBar!$O$3*(1-HTBar!$O$10)*HTBar!$O23</f>
        <v>6.4833148153456044</v>
      </c>
      <c r="M13" s="88">
        <f>HTBar!$P$3*(1-HTBar!$P$10)*HTBar!$P23</f>
        <v>7.2814796103031725</v>
      </c>
      <c r="N13" s="94"/>
      <c r="O13" s="81" t="s">
        <v>116</v>
      </c>
      <c r="P13">
        <v>11.825517749596317</v>
      </c>
      <c r="Q13">
        <v>13.301091491991475</v>
      </c>
      <c r="R13">
        <v>12.001092160061434</v>
      </c>
      <c r="S13">
        <v>8.9396041222440701</v>
      </c>
      <c r="T13">
        <v>5.9711395393645708</v>
      </c>
      <c r="U13">
        <v>5.3067025032308131</v>
      </c>
      <c r="V13">
        <v>5.0036526994886046</v>
      </c>
      <c r="W13">
        <v>6.5247933615003664</v>
      </c>
      <c r="X13">
        <v>7.2914602141145508</v>
      </c>
      <c r="Y13">
        <v>7.1724813347971716</v>
      </c>
      <c r="Z13">
        <v>8.0135058176422049</v>
      </c>
      <c r="AA13">
        <v>9.4988010634115447</v>
      </c>
      <c r="AC13" s="81" t="s">
        <v>116</v>
      </c>
      <c r="AD13">
        <f t="shared" si="0"/>
        <v>86.736754380378443</v>
      </c>
      <c r="AE13">
        <f>$Q13*100/$Q55</f>
        <v>82.952852551032578</v>
      </c>
      <c r="AF13">
        <f>$R13*100/$R55</f>
        <v>72.724809882085395</v>
      </c>
      <c r="AG13">
        <f>$S13*100/$S55</f>
        <v>60.748502602039615</v>
      </c>
      <c r="AH13">
        <f>$T13*100/$T55</f>
        <v>50.477728445228898</v>
      </c>
      <c r="AI13">
        <f t="shared" si="5"/>
        <v>45.419331624743464</v>
      </c>
      <c r="AJ13">
        <f>$V13*100/$V55</f>
        <v>45.020153159532597</v>
      </c>
      <c r="AK13">
        <f>$W13*100/$W55</f>
        <v>55.522222537925813</v>
      </c>
      <c r="AL13">
        <f>$X13*100/$X55</f>
        <v>64.534221826019134</v>
      </c>
      <c r="AM13">
        <f>$Y13*100/$Y55</f>
        <v>74.383290226117012</v>
      </c>
      <c r="AN13">
        <f>$Z13*100/$Z55</f>
        <v>81.800361448619867</v>
      </c>
      <c r="AO13">
        <f>$AA13*100/$AA55</f>
        <v>86.523830912236278</v>
      </c>
    </row>
    <row r="14" spans="1:41" x14ac:dyDescent="0.25">
      <c r="A14" s="89" t="str">
        <f>"HTBeam at Beta = " &amp; HTBar!B24</f>
        <v>HTBeam at Beta = 39</v>
      </c>
      <c r="B14" s="88">
        <f>HTBar!$E$3*(1-HTBar!$E$10)*HTBar!$E24</f>
        <v>9.6866525304927045</v>
      </c>
      <c r="C14" s="88">
        <f>HTBar!$F$3*(1-HTBar!$F$10)*HTBar!$F24</f>
        <v>12.020023463581065</v>
      </c>
      <c r="D14" s="88">
        <f>HTBar!$G$3*(1-HTBar!$G$10)*HTBar!$G24</f>
        <v>12.669497180871867</v>
      </c>
      <c r="E14" s="88">
        <f>HTBar!$H$3*(1-HTBar!$H$10)*HTBar!$H24</f>
        <v>11.766305584741987</v>
      </c>
      <c r="F14" s="88">
        <f>HTBar!$I$3*(1-HTBar!$I$10)*HTBar!$I24</f>
        <v>9.5917787883893855</v>
      </c>
      <c r="G14" s="88">
        <f>HTBar!$J$3*(1-HTBar!$J$10)*HTBar!$J24</f>
        <v>9.4541915213536605</v>
      </c>
      <c r="H14" s="88">
        <f>HTBar!$K$3*(1-HTBar!$K$10)*HTBar!$K24</f>
        <v>8.5043714107975301</v>
      </c>
      <c r="I14" s="88">
        <f>HTBar!$L$3*(1-HTBar!$L$10)*HTBar!$L24</f>
        <v>9.3239492050985309</v>
      </c>
      <c r="J14" s="88">
        <f>HTBar!$M$3*(1-HTBar!$M$10)*HTBar!$M24</f>
        <v>8.3649030732340535</v>
      </c>
      <c r="K14" s="88">
        <f>HTBar!$N$3*(1-HTBar!$N$10)*HTBar!$N24</f>
        <v>6.7830614842479626</v>
      </c>
      <c r="L14" s="88">
        <f>HTBar!$O$3*(1-HTBar!$O$10)*HTBar!$O24</f>
        <v>6.7218405511973049</v>
      </c>
      <c r="M14" s="88">
        <f>HTBar!$P$3*(1-HTBar!$P$10)*HTBar!$P24</f>
        <v>7.5908475786880629</v>
      </c>
      <c r="N14" s="94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</row>
    <row r="15" spans="1:41" x14ac:dyDescent="0.25">
      <c r="A15" s="89" t="str">
        <f>"HTBeam at Beta = " &amp; HTBar!B25</f>
        <v>HTBeam at Beta = 42</v>
      </c>
      <c r="B15" s="88">
        <f>HTBar!$E$3*(1-HTBar!$E$10)*HTBar!$E25</f>
        <v>10.028541619981588</v>
      </c>
      <c r="C15" s="88">
        <f>HTBar!$F$3*(1-HTBar!$F$10)*HTBar!$F25</f>
        <v>12.322016066451384</v>
      </c>
      <c r="D15" s="88">
        <f>HTBar!$G$3*(1-HTBar!$G$10)*HTBar!$G25</f>
        <v>12.808064379822438</v>
      </c>
      <c r="E15" s="88">
        <f>HTBar!$H$3*(1-HTBar!$H$10)*HTBar!$H25</f>
        <v>11.693472065933236</v>
      </c>
      <c r="F15" s="88">
        <f>HTBar!$I$3*(1-HTBar!$I$10)*HTBar!$I25</f>
        <v>9.4025718674595158</v>
      </c>
      <c r="G15" s="88">
        <f>HTBar!$J$3*(1-HTBar!$J$10)*HTBar!$J25</f>
        <v>9.2072712345427288</v>
      </c>
      <c r="H15" s="88">
        <f>HTBar!$K$3*(1-HTBar!$K$10)*HTBar!$K25</f>
        <v>8.3065380185642788</v>
      </c>
      <c r="I15" s="88">
        <f>HTBar!$L$3*(1-HTBar!$L$10)*HTBar!$L25</f>
        <v>9.2122190533264643</v>
      </c>
      <c r="J15" s="88">
        <f>HTBar!$M$3*(1-HTBar!$M$10)*HTBar!$M25</f>
        <v>8.3999013080514793</v>
      </c>
      <c r="K15" s="88">
        <f>HTBar!$N$3*(1-HTBar!$N$10)*HTBar!$N25</f>
        <v>6.9237850297316808</v>
      </c>
      <c r="L15" s="88">
        <f>HTBar!$O$3*(1-HTBar!$O$10)*HTBar!$O25</f>
        <v>6.9419421893275821</v>
      </c>
      <c r="M15" s="88">
        <f>HTBar!$P$3*(1-HTBar!$P$10)*HTBar!$P25</f>
        <v>7.8794095614931159</v>
      </c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</row>
    <row r="16" spans="1:41" x14ac:dyDescent="0.25">
      <c r="A16" s="89" t="str">
        <f>"HTBeam at Beta = " &amp; HTBar!B26</f>
        <v>HTBeam at Beta = 45</v>
      </c>
      <c r="B16" s="88">
        <f>HTBar!$E$3*(1-HTBar!$E$10)*HTBar!$E26</f>
        <v>10.342943173965486</v>
      </c>
      <c r="C16" s="88">
        <f>HTBar!$F$3*(1-HTBar!$F$10)*HTBar!$F26</f>
        <v>12.590234879776393</v>
      </c>
      <c r="D16" s="88">
        <f>HTBar!$G$3*(1-HTBar!$G$10)*HTBar!$G26</f>
        <v>12.911525564585558</v>
      </c>
      <c r="E16" s="88">
        <f>HTBar!$H$3*(1-HTBar!$H$10)*HTBar!$H26</f>
        <v>11.589466559237524</v>
      </c>
      <c r="F16" s="88">
        <f>HTBar!$I$3*(1-HTBar!$I$10)*HTBar!$I26</f>
        <v>9.1904814910695993</v>
      </c>
      <c r="G16" s="88">
        <f>HTBar!$J$3*(1-HTBar!$J$10)*HTBar!$J26</f>
        <v>8.9394889838251057</v>
      </c>
      <c r="H16" s="88">
        <f>HTBar!$K$3*(1-HTBar!$K$10)*HTBar!$K26</f>
        <v>8.0892206600223417</v>
      </c>
      <c r="I16" s="88">
        <f>HTBar!$L$3*(1-HTBar!$L$10)*HTBar!$L26</f>
        <v>9.0766622051888763</v>
      </c>
      <c r="J16" s="88">
        <f>HTBar!$M$3*(1-HTBar!$M$10)*HTBar!$M26</f>
        <v>8.4119111950919105</v>
      </c>
      <c r="K16" s="88">
        <f>HTBar!$N$3*(1-HTBar!$N$10)*HTBar!$N26</f>
        <v>7.0455309617153006</v>
      </c>
      <c r="L16" s="88">
        <f>HTBar!$O$3*(1-HTBar!$O$10)*HTBar!$O26</f>
        <v>7.1430164464453982</v>
      </c>
      <c r="M16" s="88">
        <f>HTBar!$P$3*(1-HTBar!$P$10)*HTBar!$P26</f>
        <v>8.1463746303811604</v>
      </c>
      <c r="O16" s="84" t="s">
        <v>117</v>
      </c>
      <c r="P16">
        <v>1.925455430835612</v>
      </c>
      <c r="Q16">
        <v>2.9460977769200225</v>
      </c>
      <c r="R16">
        <v>4.8776107069994605</v>
      </c>
      <c r="S16">
        <v>6.8069104411214383</v>
      </c>
      <c r="T16">
        <v>8.3344107752319232</v>
      </c>
      <c r="U16">
        <v>8.9683918006249161</v>
      </c>
      <c r="V16">
        <v>8.6490663376002406</v>
      </c>
      <c r="W16">
        <v>7.4484937393020427</v>
      </c>
      <c r="X16">
        <v>5.6779589229230387</v>
      </c>
      <c r="Y16">
        <v>3.5500654591384979</v>
      </c>
      <c r="Z16">
        <v>2.2480190107772313</v>
      </c>
      <c r="AA16">
        <v>1.6905867583910006</v>
      </c>
      <c r="AC16" s="84" t="s">
        <v>117</v>
      </c>
      <c r="AD16">
        <f>$P16*100/$P44</f>
        <v>33.344846178468032</v>
      </c>
      <c r="AE16">
        <f>$Q16*100/$Q44</f>
        <v>32.390946244553746</v>
      </c>
      <c r="AF16">
        <f>$R16*100/$R44</f>
        <v>36.457656912293423</v>
      </c>
      <c r="AG16">
        <f>$S16*100/$S44</f>
        <v>39.921680550032413</v>
      </c>
      <c r="AH16">
        <f>$T16*100/$T44</f>
        <v>45.407257547045297</v>
      </c>
      <c r="AI16">
        <f>$U16*100/$U44</f>
        <v>45.579332852102645</v>
      </c>
      <c r="AJ16">
        <f>$V16*100/$V44</f>
        <v>48.202091980428449</v>
      </c>
      <c r="AK16">
        <f>$W16*100/$W44</f>
        <v>45.859211193523137</v>
      </c>
      <c r="AL16">
        <f>$X16*100/$X44</f>
        <v>47.603206161487506</v>
      </c>
      <c r="AM16">
        <f>$Y16*100/$Y44</f>
        <v>48.278921074047297</v>
      </c>
      <c r="AN16">
        <f>$Z16*100/$Z44</f>
        <v>43.980853607087184</v>
      </c>
      <c r="AO16">
        <f>$AA16*100/$AA44</f>
        <v>37.780148570867667</v>
      </c>
    </row>
    <row r="17" spans="1:41" x14ac:dyDescent="0.25">
      <c r="A17" s="89" t="str">
        <f>"HTBeam at Beta = " &amp; HTBar!B27</f>
        <v>HTBeam at Beta = 48</v>
      </c>
      <c r="B17" s="88">
        <f>HTBar!$E$3*(1-HTBar!$E$10)*HTBar!$E27</f>
        <v>10.628995439638706</v>
      </c>
      <c r="C17" s="88">
        <f>HTBar!$F$3*(1-HTBar!$F$10)*HTBar!$F27</f>
        <v>12.823944734432432</v>
      </c>
      <c r="D17" s="88">
        <f>HTBar!$G$3*(1-HTBar!$G$10)*HTBar!$G27</f>
        <v>12.979597155245285</v>
      </c>
      <c r="E17" s="88">
        <f>HTBar!$H$3*(1-HTBar!$H$10)*HTBar!$H27</f>
        <v>11.4545618826952</v>
      </c>
      <c r="F17" s="88">
        <f>HTBar!$I$3*(1-HTBar!$I$10)*HTBar!$I27</f>
        <v>8.9560475385500329</v>
      </c>
      <c r="G17" s="88">
        <f>HTBar!$J$3*(1-HTBar!$J$10)*HTBar!$J27</f>
        <v>8.6515146340105318</v>
      </c>
      <c r="H17" s="88">
        <f>HTBar!$K$3*(1-HTBar!$K$10)*HTBar!$K27</f>
        <v>7.8529673448770652</v>
      </c>
      <c r="I17" s="88">
        <f>HTBar!$L$3*(1-HTBar!$L$10)*HTBar!$L27</f>
        <v>8.9176301743181625</v>
      </c>
      <c r="J17" s="88">
        <f>HTBar!$M$3*(1-HTBar!$M$10)*HTBar!$M27</f>
        <v>8.4008993296451351</v>
      </c>
      <c r="K17" s="88">
        <f>HTBar!$N$3*(1-HTBar!$N$10)*HTBar!$N27</f>
        <v>7.1479655830617101</v>
      </c>
      <c r="L17" s="88">
        <f>HTBar!$O$3*(1-HTBar!$O$10)*HTBar!$O27</f>
        <v>7.3245121919884921</v>
      </c>
      <c r="M17" s="88">
        <f>HTBar!$P$3*(1-HTBar!$P$10)*HTBar!$P27</f>
        <v>8.3910110526548873</v>
      </c>
      <c r="O17" s="84" t="s">
        <v>118</v>
      </c>
      <c r="P17">
        <v>1.9149148172062334</v>
      </c>
      <c r="Q17">
        <v>2.9299698116170765</v>
      </c>
      <c r="R17">
        <v>4.8509089672065588</v>
      </c>
      <c r="S17">
        <v>6.7696470426440678</v>
      </c>
      <c r="T17">
        <v>8.2887853079251439</v>
      </c>
      <c r="U17">
        <v>8.9192957003811166</v>
      </c>
      <c r="V17">
        <v>8.6017183361562672</v>
      </c>
      <c r="W17">
        <v>7.4077180903986779</v>
      </c>
      <c r="X17">
        <v>5.6468757982494955</v>
      </c>
      <c r="Y17">
        <v>3.5306311643921675</v>
      </c>
      <c r="Z17">
        <v>2.2357125717682447</v>
      </c>
      <c r="AA17">
        <v>1.6813318976750558</v>
      </c>
      <c r="AC17" s="84" t="s">
        <v>118</v>
      </c>
      <c r="AD17">
        <f t="shared" ref="AD17:AD27" si="12">$P17*100/$P45</f>
        <v>27.66987978303839</v>
      </c>
      <c r="AE17">
        <f t="shared" ref="AE17:AE27" si="13">$Q17*100/$Q45</f>
        <v>28.414074946390439</v>
      </c>
      <c r="AF17">
        <f t="shared" ref="AF17:AF27" si="14">$R17*100/$R45</f>
        <v>33.787657161003125</v>
      </c>
      <c r="AG17">
        <f t="shared" ref="AG17:AG27" si="15">$S17*100/$S45</f>
        <v>38.501477423091153</v>
      </c>
      <c r="AH17">
        <f t="shared" ref="AH17:AH27" si="16">$T17*100/$T45</f>
        <v>44.863873443434585</v>
      </c>
      <c r="AI17">
        <f t="shared" ref="AI17:AI27" si="17">$U17*100/$U45</f>
        <v>45.413878225000644</v>
      </c>
      <c r="AJ17">
        <f t="shared" ref="AJ17:AJ27" si="18">$V17*100/$V45</f>
        <v>47.865900968373325</v>
      </c>
      <c r="AK17">
        <f t="shared" ref="AK17:AK27" si="19">$W17*100/$W45</f>
        <v>44.816890419067278</v>
      </c>
      <c r="AL17">
        <f t="shared" ref="AL17:AL27" si="20">$X17*100/$X45</f>
        <v>45.332262454352851</v>
      </c>
      <c r="AM17">
        <f t="shared" ref="AM17:AM27" si="21">$Y17*100/$Y45</f>
        <v>44.267970337867204</v>
      </c>
      <c r="AN17">
        <f t="shared" ref="AN17:AN27" si="22">$Z17*100/$Z45</f>
        <v>38.072124362702212</v>
      </c>
      <c r="AO17">
        <f t="shared" ref="AO17:AO27" si="23">$AA17*100/$AA45</f>
        <v>31.101930917012933</v>
      </c>
    </row>
    <row r="18" spans="1:41" x14ac:dyDescent="0.25">
      <c r="A18" s="87" t="str">
        <f>"HTBeam at Beta = " &amp; HTBar!B28</f>
        <v>HTBeam at Beta = 51</v>
      </c>
      <c r="B18" s="88">
        <f>HTBar!$E$3*(1-HTBar!$E$10)*HTBar!$E28</f>
        <v>10.885914367624295</v>
      </c>
      <c r="C18" s="88">
        <f>HTBar!$F$3*(1-HTBar!$F$10)*HTBar!$F28</f>
        <v>13.022505047952858</v>
      </c>
      <c r="D18" s="88">
        <f>HTBar!$G$3*(1-HTBar!$G$10)*HTBar!$G28</f>
        <v>13.012092572303223</v>
      </c>
      <c r="E18" s="88">
        <f>HTBar!$H$3*(1-HTBar!$H$10)*HTBar!$H28</f>
        <v>11.289122886206899</v>
      </c>
      <c r="F18" s="88">
        <f>HTBar!$I$3*(1-HTBar!$I$10)*HTBar!$I28</f>
        <v>8.6998959635095527</v>
      </c>
      <c r="G18" s="88">
        <f>HTBar!$J$3*(1-HTBar!$J$10)*HTBar!$J28</f>
        <v>8.3441118151017335</v>
      </c>
      <c r="H18" s="88">
        <f>HTBar!$K$3*(1-HTBar!$K$10)*HTBar!$K28</f>
        <v>7.5984065334984994</v>
      </c>
      <c r="I18" s="88">
        <f>HTBar!$L$3*(1-HTBar!$L$10)*HTBar!$L28</f>
        <v>8.735550821380631</v>
      </c>
      <c r="J18" s="88">
        <f>HTBar!$M$3*(1-HTBar!$M$10)*HTBar!$M28</f>
        <v>8.3668956993504509</v>
      </c>
      <c r="K18" s="88">
        <f>HTBar!$N$3*(1-HTBar!$N$10)*HTBar!$N28</f>
        <v>7.2308081275939422</v>
      </c>
      <c r="L18" s="88">
        <f>HTBar!$O$3*(1-HTBar!$O$10)*HTBar!$O28</f>
        <v>7.4859319587339463</v>
      </c>
      <c r="M18" s="88">
        <f>HTBar!$P$3*(1-HTBar!$P$10)*HTBar!$P28</f>
        <v>8.6126482968853146</v>
      </c>
      <c r="O18" s="84" t="s">
        <v>119</v>
      </c>
      <c r="P18">
        <v>1.9057233842464241</v>
      </c>
      <c r="Q18">
        <v>2.9159061985227699</v>
      </c>
      <c r="R18">
        <v>4.8276250048257845</v>
      </c>
      <c r="S18">
        <v>6.7371532959797573</v>
      </c>
      <c r="T18">
        <v>8.2489998230610198</v>
      </c>
      <c r="U18">
        <v>8.8764838177103371</v>
      </c>
      <c r="V18">
        <v>8.5604307986034005</v>
      </c>
      <c r="W18">
        <v>7.3721616554067539</v>
      </c>
      <c r="X18">
        <v>5.6197712608227581</v>
      </c>
      <c r="Y18">
        <v>3.5136844264162876</v>
      </c>
      <c r="Z18">
        <v>2.2249813360828936</v>
      </c>
      <c r="AA18">
        <v>1.6732616434361669</v>
      </c>
      <c r="AC18" s="84" t="s">
        <v>119</v>
      </c>
      <c r="AD18">
        <f t="shared" si="12"/>
        <v>25.500546863720039</v>
      </c>
      <c r="AE18">
        <f t="shared" si="13"/>
        <v>26.778054457557591</v>
      </c>
      <c r="AF18">
        <f t="shared" si="14"/>
        <v>32.606458190001526</v>
      </c>
      <c r="AG18">
        <f t="shared" si="15"/>
        <v>37.844466117834884</v>
      </c>
      <c r="AH18">
        <f t="shared" si="16"/>
        <v>44.612037636633339</v>
      </c>
      <c r="AI18">
        <f t="shared" si="17"/>
        <v>45.335928664650524</v>
      </c>
      <c r="AJ18">
        <f t="shared" si="18"/>
        <v>47.708143439111403</v>
      </c>
      <c r="AK18">
        <f t="shared" si="19"/>
        <v>44.336757006883559</v>
      </c>
      <c r="AL18">
        <f t="shared" si="20"/>
        <v>44.304458967990627</v>
      </c>
      <c r="AM18">
        <f t="shared" si="21"/>
        <v>42.523164345564297</v>
      </c>
      <c r="AN18">
        <f t="shared" si="22"/>
        <v>35.680684724078233</v>
      </c>
      <c r="AO18">
        <f t="shared" si="23"/>
        <v>28.575423791728639</v>
      </c>
    </row>
    <row r="19" spans="1:41" x14ac:dyDescent="0.25">
      <c r="A19" s="87" t="str">
        <f>"HTBeam at Beta = " &amp; HTBar!B29</f>
        <v>HTBeam at Beta = 54</v>
      </c>
      <c r="B19" s="88">
        <f>HTBar!$E$3*(1-HTBar!$E$10)*HTBar!$E29</f>
        <v>11.112995760998851</v>
      </c>
      <c r="C19" s="88">
        <f>HTBar!$F$3*(1-HTBar!$F$10)*HTBar!$F29</f>
        <v>13.185371580320078</v>
      </c>
      <c r="D19" s="88">
        <f>HTBar!$G$3*(1-HTBar!$G$10)*HTBar!$G29</f>
        <v>13.008922748079941</v>
      </c>
      <c r="E19" s="88">
        <f>HTBar!$H$3*(1-HTBar!$H$10)*HTBar!$H29</f>
        <v>11.093605299722698</v>
      </c>
      <c r="F19" s="88">
        <f>HTBar!$I$3*(1-HTBar!$I$10)*HTBar!$I29</f>
        <v>8.4227365435681456</v>
      </c>
      <c r="G19" s="88">
        <f>HTBar!$J$3*(1-HTBar!$J$10)*HTBar!$J29</f>
        <v>8.0181349769817789</v>
      </c>
      <c r="H19" s="88">
        <f>HTBar!$K$3*(1-HTBar!$K$10)*HTBar!$K29</f>
        <v>7.326244790080116</v>
      </c>
      <c r="I19" s="88">
        <f>HTBar!$L$3*(1-HTBar!$L$10)*HTBar!$L29</f>
        <v>8.5309269297318657</v>
      </c>
      <c r="J19" s="88">
        <f>HTBar!$M$3*(1-HTBar!$M$10)*HTBar!$M29</f>
        <v>8.3099935960484128</v>
      </c>
      <c r="K19" s="88">
        <f>HTBar!$N$3*(1-HTBar!$N$10)*HTBar!$N29</f>
        <v>7.2938315296557512</v>
      </c>
      <c r="L19" s="88">
        <f>HTBar!$O$3*(1-HTBar!$O$10)*HTBar!$O29</f>
        <v>7.6268333063212621</v>
      </c>
      <c r="M19" s="88">
        <f>HTBar!$P$3*(1-HTBar!$P$10)*HTBar!$P29</f>
        <v>8.8106788707918202</v>
      </c>
      <c r="O19" s="84" t="s">
        <v>120</v>
      </c>
      <c r="P19">
        <v>1.8627879096231073</v>
      </c>
      <c r="Q19">
        <v>2.8502115559395009</v>
      </c>
      <c r="R19">
        <v>4.71885981224903</v>
      </c>
      <c r="S19">
        <v>6.5853669051718819</v>
      </c>
      <c r="T19">
        <v>8.0631519054153902</v>
      </c>
      <c r="U19">
        <v>8.6764988414802815</v>
      </c>
      <c r="V19">
        <v>8.3675664184124461</v>
      </c>
      <c r="W19">
        <v>7.2060686839444399</v>
      </c>
      <c r="X19">
        <v>5.493159209801874</v>
      </c>
      <c r="Y19">
        <v>3.4345219887971496</v>
      </c>
      <c r="Z19">
        <v>2.1748530590819186</v>
      </c>
      <c r="AA19">
        <v>1.6355634741090739</v>
      </c>
      <c r="AC19" s="84" t="s">
        <v>120</v>
      </c>
      <c r="AD19">
        <f t="shared" si="12"/>
        <v>20.625115952657456</v>
      </c>
      <c r="AE19">
        <f t="shared" si="13"/>
        <v>22.837823244611311</v>
      </c>
      <c r="AF19">
        <f t="shared" si="14"/>
        <v>29.537876998784309</v>
      </c>
      <c r="AG19">
        <f t="shared" si="15"/>
        <v>36.056356064435484</v>
      </c>
      <c r="AH19">
        <f t="shared" si="16"/>
        <v>43.951279702963511</v>
      </c>
      <c r="AI19">
        <f t="shared" si="17"/>
        <v>45.154863921123734</v>
      </c>
      <c r="AJ19">
        <f t="shared" si="18"/>
        <v>47.302128064653154</v>
      </c>
      <c r="AK19">
        <f t="shared" si="19"/>
        <v>43.051070070667876</v>
      </c>
      <c r="AL19">
        <f t="shared" si="20"/>
        <v>41.571574327717386</v>
      </c>
      <c r="AM19">
        <f t="shared" si="21"/>
        <v>38.073403602825493</v>
      </c>
      <c r="AN19">
        <f t="shared" si="22"/>
        <v>30.011993238362429</v>
      </c>
      <c r="AO19">
        <f t="shared" si="23"/>
        <v>22.949442479637117</v>
      </c>
    </row>
    <row r="20" spans="1:41" x14ac:dyDescent="0.25">
      <c r="A20" s="89" t="str">
        <f>"HTBeam at Beta = " &amp; HTBar!B30</f>
        <v>HTBeam at Beta = 57</v>
      </c>
      <c r="B20" s="88">
        <f>HTBar!$E$3*(1-HTBar!$E$10)*HTBar!$E30</f>
        <v>11.309617205447374</v>
      </c>
      <c r="C20" s="88">
        <f>HTBar!$F$3*(1-HTBar!$F$10)*HTBar!$F30</f>
        <v>13.312097925689574</v>
      </c>
      <c r="D20" s="88">
        <f>HTBar!$G$3*(1-HTBar!$G$10)*HTBar!$G30</f>
        <v>12.970096370843306</v>
      </c>
      <c r="E20" s="88">
        <f>HTBar!$H$3*(1-HTBar!$H$10)*HTBar!$H30</f>
        <v>10.86855455419224</v>
      </c>
      <c r="F20" s="88">
        <f>HTBar!$I$3*(1-HTBar!$I$10)*HTBar!$I30</f>
        <v>8.1253611816529254</v>
      </c>
      <c r="G20" s="88">
        <f>HTBar!$J$3*(1-HTBar!$J$10)*HTBar!$J30</f>
        <v>7.6745274407438799</v>
      </c>
      <c r="H20" s="88">
        <f>HTBar!$K$3*(1-HTBar!$K$10)*HTBar!$K30</f>
        <v>7.0372651341228298</v>
      </c>
      <c r="I20" s="88">
        <f>HTBar!$L$3*(1-HTBar!$L$10)*HTBar!$L30</f>
        <v>8.3043349434758245</v>
      </c>
      <c r="J20" s="88">
        <f>HTBar!$M$3*(1-HTBar!$M$10)*HTBar!$M30</f>
        <v>8.230349362823457</v>
      </c>
      <c r="K20" s="88">
        <f>HTBar!$N$3*(1-HTBar!$N$10)*HTBar!$N30</f>
        <v>7.3368630464827875</v>
      </c>
      <c r="L20" s="88">
        <f>HTBar!$O$3*(1-HTBar!$O$10)*HTBar!$O30</f>
        <v>7.7468300339506326</v>
      </c>
      <c r="M20" s="88">
        <f>HTBar!$P$3*(1-HTBar!$P$10)*HTBar!$P30</f>
        <v>8.9845599863362668</v>
      </c>
      <c r="O20" s="84" t="s">
        <v>121</v>
      </c>
      <c r="P20">
        <v>1.7977062208455594</v>
      </c>
      <c r="Q20">
        <v>2.7506314692986362</v>
      </c>
      <c r="R20">
        <v>4.5539932892814177</v>
      </c>
      <c r="S20">
        <v>6.3552887533896572</v>
      </c>
      <c r="T20">
        <v>7.7814432148213486</v>
      </c>
      <c r="U20">
        <v>8.3733611657616187</v>
      </c>
      <c r="V20">
        <v>8.0752221581478612</v>
      </c>
      <c r="W20">
        <v>6.9543045851034755</v>
      </c>
      <c r="X20">
        <v>5.3012403787578295</v>
      </c>
      <c r="Y20">
        <v>3.3145273882203372</v>
      </c>
      <c r="Z20">
        <v>2.0988685043202846</v>
      </c>
      <c r="AA20">
        <v>1.5784205044516058</v>
      </c>
      <c r="AC20" s="84" t="s">
        <v>121</v>
      </c>
      <c r="AD20">
        <f t="shared" si="12"/>
        <v>17.267125091932954</v>
      </c>
      <c r="AE20">
        <f t="shared" si="13"/>
        <v>19.889680340241974</v>
      </c>
      <c r="AF20">
        <f t="shared" si="14"/>
        <v>27.011114328754253</v>
      </c>
      <c r="AG20">
        <f t="shared" si="15"/>
        <v>34.50048619832328</v>
      </c>
      <c r="AH20">
        <f t="shared" si="16"/>
        <v>43.448599989018369</v>
      </c>
      <c r="AI20">
        <f t="shared" si="17"/>
        <v>45.091739485570351</v>
      </c>
      <c r="AJ20">
        <f t="shared" si="18"/>
        <v>47.025954661412705</v>
      </c>
      <c r="AK20">
        <f t="shared" si="19"/>
        <v>41.982047525881107</v>
      </c>
      <c r="AL20">
        <f t="shared" si="20"/>
        <v>39.261485829020835</v>
      </c>
      <c r="AM20">
        <f t="shared" si="21"/>
        <v>34.497629736603166</v>
      </c>
      <c r="AN20">
        <f t="shared" si="22"/>
        <v>25.851748018916748</v>
      </c>
      <c r="AO20">
        <f t="shared" si="23"/>
        <v>19.115817776027868</v>
      </c>
    </row>
    <row r="21" spans="1:41" x14ac:dyDescent="0.25">
      <c r="A21" s="89" t="str">
        <f>"HTBeam at Beta = " &amp; HTBar!B31</f>
        <v>HTBeam at Beta = 60</v>
      </c>
      <c r="B21" s="88">
        <f>HTBar!$E$3*(1-HTBar!$E$10)*HTBar!$E31</f>
        <v>11.475239775257622</v>
      </c>
      <c r="C21" s="88">
        <f>HTBar!$F$3*(1-HTBar!$F$10)*HTBar!$F31</f>
        <v>13.402336735957345</v>
      </c>
      <c r="D21" s="88">
        <f>HTBar!$G$3*(1-HTBar!$G$10)*HTBar!$G31</f>
        <v>12.895719860994534</v>
      </c>
      <c r="E21" s="88">
        <f>HTBar!$H$3*(1-HTBar!$H$10)*HTBar!$H31</f>
        <v>10.614604582859918</v>
      </c>
      <c r="F21" s="88">
        <f>HTBar!$I$3*(1-HTBar!$I$10)*HTBar!$I31</f>
        <v>7.8086427796977</v>
      </c>
      <c r="G21" s="88">
        <f>HTBar!$J$3*(1-HTBar!$J$10)*HTBar!$J31</f>
        <v>7.3143204789029683</v>
      </c>
      <c r="H21" s="88">
        <f>HTBar!$K$3*(1-HTBar!$K$10)*HTBar!$K31</f>
        <v>6.7323261140763986</v>
      </c>
      <c r="I21" s="88">
        <f>HTBar!$L$3*(1-HTBar!$L$10)*HTBar!$L31</f>
        <v>8.0564238787332538</v>
      </c>
      <c r="J21" s="88">
        <f>HTBar!$M$3*(1-HTBar!$M$10)*HTBar!$M31</f>
        <v>8.1281819770988371</v>
      </c>
      <c r="K21" s="88">
        <f>HTBar!$N$3*(1-HTBar!$N$10)*HTBar!$N31</f>
        <v>7.3597847316785119</v>
      </c>
      <c r="L21" s="88">
        <f>HTBar!$O$3*(1-HTBar!$O$10)*HTBar!$O31</f>
        <v>7.8455932389324987</v>
      </c>
      <c r="M21" s="88">
        <f>HTBar!$P$3*(1-HTBar!$P$10)*HTBar!$P31</f>
        <v>9.133815047467273</v>
      </c>
      <c r="O21" s="84" t="s">
        <v>122</v>
      </c>
      <c r="P21">
        <v>1.7427850112906911</v>
      </c>
      <c r="Q21">
        <v>2.6665977125135534</v>
      </c>
      <c r="R21">
        <v>4.4148655403467512</v>
      </c>
      <c r="S21">
        <v>6.1611301409538388</v>
      </c>
      <c r="T21">
        <v>7.5437145645641905</v>
      </c>
      <c r="U21">
        <v>8.1175489991624037</v>
      </c>
      <c r="V21">
        <v>7.8285183512593521</v>
      </c>
      <c r="W21">
        <v>6.7418456109963474</v>
      </c>
      <c r="X21">
        <v>5.1392836973121012</v>
      </c>
      <c r="Y21">
        <v>3.2132662081938377</v>
      </c>
      <c r="Z21">
        <v>2.0347465718169477</v>
      </c>
      <c r="AA21">
        <v>1.5301986302179429</v>
      </c>
      <c r="AC21" s="84" t="s">
        <v>122</v>
      </c>
      <c r="AD21">
        <f t="shared" si="12"/>
        <v>15.540521147735641</v>
      </c>
      <c r="AE21">
        <f t="shared" si="13"/>
        <v>18.29207814179313</v>
      </c>
      <c r="AF21">
        <f t="shared" si="14"/>
        <v>25.550104738820583</v>
      </c>
      <c r="AG21">
        <f t="shared" si="15"/>
        <v>33.570949828380236</v>
      </c>
      <c r="AH21">
        <f t="shared" si="16"/>
        <v>43.210082029722031</v>
      </c>
      <c r="AI21">
        <f t="shared" si="17"/>
        <v>45.135295665991485</v>
      </c>
      <c r="AJ21">
        <f t="shared" si="18"/>
        <v>46.928982598664454</v>
      </c>
      <c r="AK21">
        <f t="shared" si="19"/>
        <v>41.382815000301136</v>
      </c>
      <c r="AL21">
        <f t="shared" si="20"/>
        <v>37.907774014329974</v>
      </c>
      <c r="AM21">
        <f t="shared" si="21"/>
        <v>32.465945208544028</v>
      </c>
      <c r="AN21">
        <f t="shared" si="22"/>
        <v>23.625141404891306</v>
      </c>
      <c r="AO21">
        <f t="shared" si="23"/>
        <v>17.157536519316718</v>
      </c>
    </row>
    <row r="22" spans="1:41" x14ac:dyDescent="0.25">
      <c r="A22" s="89" t="str">
        <f>"HTBeam at Beta = " &amp; HTBar!B32</f>
        <v>HTBeam at Beta = 63</v>
      </c>
      <c r="B22" s="88">
        <f>HTBar!$E$3*(1-HTBar!$E$10)*HTBar!$E32</f>
        <v>11.609409510478024</v>
      </c>
      <c r="C22" s="88">
        <f>HTBar!$F$3*(1-HTBar!$F$10)*HTBar!$F32</f>
        <v>13.455840672816858</v>
      </c>
      <c r="D22" s="88">
        <f>HTBar!$G$3*(1-HTBar!$G$10)*HTBar!$G32</f>
        <v>12.785997079377273</v>
      </c>
      <c r="E22" s="88">
        <f>HTBar!$H$3*(1-HTBar!$H$10)*HTBar!$H32</f>
        <v>10.332476624795481</v>
      </c>
      <c r="F22" s="88">
        <f>HTBar!$I$3*(1-HTBar!$I$10)*HTBar!$I32</f>
        <v>7.4735347571525788</v>
      </c>
      <c r="G22" s="88">
        <f>HTBar!$J$3*(1-HTBar!$J$10)*HTBar!$J32</f>
        <v>6.9386335424034806</v>
      </c>
      <c r="H22" s="88">
        <f>HTBar!$K$3*(1-HTBar!$K$10)*HTBar!$K32</f>
        <v>6.4123616884670716</v>
      </c>
      <c r="I22" s="88">
        <f>HTBar!$L$3*(1-HTBar!$L$10)*HTBar!$L32</f>
        <v>7.7879144425269979</v>
      </c>
      <c r="J22" s="88">
        <f>HTBar!$M$3*(1-HTBar!$M$10)*HTBar!$M32</f>
        <v>8.0037724716447389</v>
      </c>
      <c r="K22" s="88">
        <f>HTBar!$N$3*(1-HTBar!$N$10)*HTBar!$N32</f>
        <v>7.3625337584970696</v>
      </c>
      <c r="L22" s="88">
        <f>HTBar!$O$3*(1-HTBar!$O$10)*HTBar!$O32</f>
        <v>7.9228522181869518</v>
      </c>
      <c r="M22" s="88">
        <f>HTBar!$P$3*(1-HTBar!$P$10)*HTBar!$P32</f>
        <v>9.2580349564368714</v>
      </c>
      <c r="O22" s="84" t="s">
        <v>123</v>
      </c>
      <c r="P22">
        <v>1.5696674851266772</v>
      </c>
      <c r="Q22">
        <v>2.4017143239864267</v>
      </c>
      <c r="R22">
        <v>3.9763199964385243</v>
      </c>
      <c r="S22">
        <v>5.5491214299157772</v>
      </c>
      <c r="T22">
        <v>6.7943684346375743</v>
      </c>
      <c r="U22">
        <v>7.3112016917515961</v>
      </c>
      <c r="V22">
        <v>7.0508815677665249</v>
      </c>
      <c r="W22">
        <v>6.0721522028053769</v>
      </c>
      <c r="X22">
        <v>4.6287789166479536</v>
      </c>
      <c r="Y22">
        <v>2.89408013919215</v>
      </c>
      <c r="Z22">
        <v>1.832627382931576</v>
      </c>
      <c r="AA22">
        <v>1.3781981254587776</v>
      </c>
      <c r="AC22" s="84" t="s">
        <v>123</v>
      </c>
      <c r="AD22">
        <f t="shared" si="12"/>
        <v>12.307806168600866</v>
      </c>
      <c r="AE22">
        <f t="shared" si="13"/>
        <v>15.140113001092187</v>
      </c>
      <c r="AF22">
        <f t="shared" si="14"/>
        <v>22.461266667053973</v>
      </c>
      <c r="AG22">
        <f t="shared" si="15"/>
        <v>31.559824110090581</v>
      </c>
      <c r="AH22">
        <f t="shared" si="16"/>
        <v>43.00582026785473</v>
      </c>
      <c r="AI22">
        <f t="shared" si="17"/>
        <v>45.639053025347287</v>
      </c>
      <c r="AJ22">
        <f t="shared" si="18"/>
        <v>47.065813613985505</v>
      </c>
      <c r="AK22">
        <f t="shared" si="19"/>
        <v>40.27820999042401</v>
      </c>
      <c r="AL22">
        <f t="shared" si="20"/>
        <v>35.036811280853144</v>
      </c>
      <c r="AM22">
        <f t="shared" si="21"/>
        <v>28.257021165974962</v>
      </c>
      <c r="AN22">
        <f t="shared" si="22"/>
        <v>19.286525902902923</v>
      </c>
      <c r="AO22">
        <f t="shared" si="23"/>
        <v>13.514105436689439</v>
      </c>
    </row>
    <row r="23" spans="1:41" x14ac:dyDescent="0.25">
      <c r="A23" s="87" t="str">
        <f>"HTBeam at Beta = " &amp; HTBar!B33</f>
        <v>HTBeam at Beta = 66</v>
      </c>
      <c r="B23" s="88">
        <f>HTBar!$E$3*(1-HTBar!$E$10)*HTBar!$E33</f>
        <v>11.71175866119037</v>
      </c>
      <c r="C23" s="88">
        <f>HTBar!$F$3*(1-HTBar!$F$10)*HTBar!$F33</f>
        <v>13.472463085696196</v>
      </c>
      <c r="D23" s="88">
        <f>HTBar!$G$3*(1-HTBar!$G$10)*HTBar!$G33</f>
        <v>12.641228768509201</v>
      </c>
      <c r="E23" s="88">
        <f>HTBar!$H$3*(1-HTBar!$H$10)*HTBar!$H33</f>
        <v>10.022978068743178</v>
      </c>
      <c r="F23" s="88">
        <f>HTBar!$I$3*(1-HTBar!$I$10)*HTBar!$I33</f>
        <v>7.1210713458681862</v>
      </c>
      <c r="G23" s="88">
        <f>HTBar!$J$3*(1-HTBar!$J$10)*HTBar!$J33</f>
        <v>6.5486758514074879</v>
      </c>
      <c r="H23" s="88">
        <f>HTBar!$K$3*(1-HTBar!$K$10)*HTBar!$K33</f>
        <v>6.0783820706828733</v>
      </c>
      <c r="I23" s="88">
        <f>HTBar!$L$3*(1-HTBar!$L$10)*HTBar!$L33</f>
        <v>7.4995984205659925</v>
      </c>
      <c r="J23" s="88">
        <f>HTBar!$M$3*(1-HTBar!$M$10)*HTBar!$M33</f>
        <v>7.8574631964284922</v>
      </c>
      <c r="K23" s="88">
        <f>HTBar!$N$3*(1-HTBar!$N$10)*HTBar!$N33</f>
        <v>7.3451025920470343</v>
      </c>
      <c r="L23" s="88">
        <f>HTBar!$O$3*(1-HTBar!$O$10)*HTBar!$O33</f>
        <v>7.9783952102220583</v>
      </c>
      <c r="M23" s="88">
        <f>HTBar!$P$3*(1-HTBar!$P$10)*HTBar!$P33</f>
        <v>9.3568792351089964</v>
      </c>
      <c r="N23" s="79" t="s">
        <v>104</v>
      </c>
      <c r="O23" s="84" t="s">
        <v>124</v>
      </c>
      <c r="P23">
        <v>1.5296530366757799</v>
      </c>
      <c r="Q23">
        <v>2.3404890804736707</v>
      </c>
      <c r="R23">
        <v>3.8749544186780081</v>
      </c>
      <c r="S23">
        <v>5.407661512124835</v>
      </c>
      <c r="T23">
        <v>6.6211642955059871</v>
      </c>
      <c r="U23">
        <v>7.1248222795634808</v>
      </c>
      <c r="V23">
        <v>6.8711383166001756</v>
      </c>
      <c r="W23">
        <v>5.9173590229711461</v>
      </c>
      <c r="X23">
        <v>4.5107806545282143</v>
      </c>
      <c r="Y23">
        <v>2.8203033542107598</v>
      </c>
      <c r="Z23">
        <v>1.7859094795291872</v>
      </c>
      <c r="AA23">
        <v>1.3430646730754894</v>
      </c>
      <c r="AC23" s="84" t="s">
        <v>124</v>
      </c>
      <c r="AD23">
        <f t="shared" si="12"/>
        <v>11.790258797136326</v>
      </c>
      <c r="AE23">
        <f t="shared" si="13"/>
        <v>14.61518825510368</v>
      </c>
      <c r="AF23">
        <f t="shared" si="14"/>
        <v>21.918967154004694</v>
      </c>
      <c r="AG23">
        <f t="shared" si="15"/>
        <v>31.205265568687437</v>
      </c>
      <c r="AH23">
        <f t="shared" si="16"/>
        <v>43.043572305551912</v>
      </c>
      <c r="AI23">
        <f t="shared" si="17"/>
        <v>45.824445230827195</v>
      </c>
      <c r="AJ23">
        <f t="shared" si="18"/>
        <v>47.171957713518324</v>
      </c>
      <c r="AK23">
        <f t="shared" si="19"/>
        <v>40.128245822733298</v>
      </c>
      <c r="AL23">
        <f t="shared" si="20"/>
        <v>34.537749638494162</v>
      </c>
      <c r="AM23">
        <f t="shared" si="21"/>
        <v>27.530320463564387</v>
      </c>
      <c r="AN23">
        <f t="shared" si="22"/>
        <v>18.570602770087181</v>
      </c>
      <c r="AO23">
        <f t="shared" si="23"/>
        <v>12.933542204778922</v>
      </c>
    </row>
    <row r="24" spans="1:41" x14ac:dyDescent="0.25">
      <c r="A24" s="87" t="str">
        <f>"HTBeam at Beta = " &amp; HTBar!B34</f>
        <v>HTBeam at Beta = 69</v>
      </c>
      <c r="B24" s="88">
        <f>HTBar!$E$3*(1-HTBar!$E$10)*HTBar!$E34</f>
        <v>11.782006695486752</v>
      </c>
      <c r="C24" s="88">
        <f>HTBar!$F$3*(1-HTBar!$F$10)*HTBar!$F34</f>
        <v>13.45215841371707</v>
      </c>
      <c r="D24" s="88">
        <f>HTBar!$G$3*(1-HTBar!$G$10)*HTBar!$G34</f>
        <v>12.461811728267682</v>
      </c>
      <c r="E24" s="88">
        <f>HTBar!$H$3*(1-HTBar!$H$10)*HTBar!$H34</f>
        <v>9.6870013952121852</v>
      </c>
      <c r="F24" s="88">
        <f>HTBar!$I$3*(1-HTBar!$I$10)*HTBar!$I34</f>
        <v>6.7523688668513815</v>
      </c>
      <c r="G24" s="88">
        <f>HTBar!$J$3*(1-HTBar!$J$10)*HTBar!$J34</f>
        <v>6.1457496921535624</v>
      </c>
      <c r="H24" s="88">
        <f>HTBar!$K$3*(1-HTBar!$K$10)*HTBar!$K34</f>
        <v>5.7314757826764131</v>
      </c>
      <c r="I24" s="88">
        <f>HTBar!$L$3*(1-HTBar!$L$10)*HTBar!$L34</f>
        <v>7.1923384284187328</v>
      </c>
      <c r="J24" s="88">
        <f>HTBar!$M$3*(1-HTBar!$M$10)*HTBar!$M34</f>
        <v>7.6896569254373004</v>
      </c>
      <c r="K24" s="88">
        <f>HTBar!$N$3*(1-HTBar!$N$10)*HTBar!$N34</f>
        <v>7.3075390099440183</v>
      </c>
      <c r="L24" s="88">
        <f>HTBar!$O$3*(1-HTBar!$O$10)*HTBar!$O34</f>
        <v>8.012069975557397</v>
      </c>
      <c r="M24" s="88">
        <f>HTBar!$P$3*(1-HTBar!$P$10)*HTBar!$P34</f>
        <v>9.4300769581863868</v>
      </c>
      <c r="O24" s="84" t="s">
        <v>125</v>
      </c>
      <c r="P24">
        <v>1.3552330044489047</v>
      </c>
      <c r="Q24">
        <v>2.0736127555457489</v>
      </c>
      <c r="R24">
        <v>3.4331093346109172</v>
      </c>
      <c r="S24">
        <v>4.7910481543227244</v>
      </c>
      <c r="T24">
        <v>5.8661802160370096</v>
      </c>
      <c r="U24">
        <v>6.3124081556959766</v>
      </c>
      <c r="V24">
        <v>6.087650729623455</v>
      </c>
      <c r="W24">
        <v>5.2426269584190583</v>
      </c>
      <c r="X24">
        <v>3.9964349249626556</v>
      </c>
      <c r="Y24">
        <v>2.4987157849146318</v>
      </c>
      <c r="Z24">
        <v>1.5822695811305891</v>
      </c>
      <c r="AA24">
        <v>1.1899205430382038</v>
      </c>
      <c r="AC24" s="84" t="s">
        <v>125</v>
      </c>
      <c r="AD24">
        <f t="shared" si="12"/>
        <v>10.006378915854498</v>
      </c>
      <c r="AE24">
        <f t="shared" si="13"/>
        <v>12.761685788252075</v>
      </c>
      <c r="AF24">
        <f t="shared" si="14"/>
        <v>19.939035388045895</v>
      </c>
      <c r="AG24">
        <f t="shared" si="15"/>
        <v>29.933249449576763</v>
      </c>
      <c r="AH24">
        <f t="shared" si="16"/>
        <v>43.535347701464453</v>
      </c>
      <c r="AI24">
        <f t="shared" si="17"/>
        <v>46.952848133873772</v>
      </c>
      <c r="AJ24">
        <f t="shared" si="18"/>
        <v>47.946466320739169</v>
      </c>
      <c r="AK24">
        <f t="shared" si="19"/>
        <v>39.804712601410721</v>
      </c>
      <c r="AL24">
        <f t="shared" si="20"/>
        <v>32.76082813054493</v>
      </c>
      <c r="AM24">
        <f t="shared" si="21"/>
        <v>24.909365225472069</v>
      </c>
      <c r="AN24">
        <f t="shared" si="22"/>
        <v>16.056417943457301</v>
      </c>
      <c r="AO24">
        <f t="shared" si="23"/>
        <v>10.9380816329273</v>
      </c>
    </row>
    <row r="25" spans="1:41" x14ac:dyDescent="0.25">
      <c r="A25" s="87" t="str">
        <f>"HTBeam at Beta = " &amp; HTBar!B35</f>
        <v>HTBeam at Beta = 72</v>
      </c>
      <c r="B25" s="88">
        <f>HTBar!$E$3*(1-HTBar!$E$10)*HTBar!$E35</f>
        <v>11.81996106838805</v>
      </c>
      <c r="C25" s="88">
        <f>HTBar!$F$3*(1-HTBar!$F$10)*HTBar!$F35</f>
        <v>13.394982310574012</v>
      </c>
      <c r="D25" s="88">
        <f>HTBar!$G$3*(1-HTBar!$G$10)*HTBar!$G35</f>
        <v>12.248237728288894</v>
      </c>
      <c r="E25" s="88">
        <f>HTBar!$H$3*(1-HTBar!$H$10)*HTBar!$H35</f>
        <v>9.3255233005797358</v>
      </c>
      <c r="F25" s="88">
        <f>HTBar!$I$3*(1-HTBar!$I$10)*HTBar!$I35</f>
        <v>6.3686282929553686</v>
      </c>
      <c r="G25" s="88">
        <f>HTBar!$J$3*(1-HTBar!$J$10)*HTBar!$J35</f>
        <v>5.7312559316916847</v>
      </c>
      <c r="H25" s="88">
        <f>HTBar!$K$3*(1-HTBar!$K$10)*HTBar!$K35</f>
        <v>5.3728132825200641</v>
      </c>
      <c r="I25" s="88">
        <f>HTBar!$L$3*(1-HTBar!$L$10)*HTBar!$L35</f>
        <v>6.8670681642526983</v>
      </c>
      <c r="J25" s="88">
        <f>HTBar!$M$3*(1-HTBar!$M$10)*HTBar!$M35</f>
        <v>7.5008158140264412</v>
      </c>
      <c r="K25" s="88">
        <f>HTBar!$N$3*(1-HTBar!$N$10)*HTBar!$N35</f>
        <v>7.2499459713555545</v>
      </c>
      <c r="L25" s="88">
        <f>HTBar!$O$3*(1-HTBar!$O$10)*HTBar!$O35</f>
        <v>8.0237842140018909</v>
      </c>
      <c r="M25" s="88">
        <f>HTBar!$P$3*(1-HTBar!$P$10)*HTBar!$P35</f>
        <v>9.477427495798004</v>
      </c>
      <c r="O25" s="84" t="s">
        <v>126</v>
      </c>
      <c r="P25">
        <v>1.3086351922875026</v>
      </c>
      <c r="Q25">
        <v>2.0023144493790541</v>
      </c>
      <c r="R25">
        <v>3.3150666191674514</v>
      </c>
      <c r="S25">
        <v>4.6263145910030019</v>
      </c>
      <c r="T25">
        <v>5.6644797240076095</v>
      </c>
      <c r="U25">
        <v>6.0953647332294203</v>
      </c>
      <c r="V25">
        <v>5.8783352803449977</v>
      </c>
      <c r="W25">
        <v>5.0623664825903623</v>
      </c>
      <c r="X25">
        <v>3.8590230383443807</v>
      </c>
      <c r="Y25">
        <v>2.4128008991289733</v>
      </c>
      <c r="Z25">
        <v>1.527865430340146</v>
      </c>
      <c r="AA25">
        <v>1.1490067711853444</v>
      </c>
      <c r="AC25" s="84" t="s">
        <v>126</v>
      </c>
      <c r="AD25">
        <f t="shared" si="12"/>
        <v>9.6179286516070945</v>
      </c>
      <c r="AE25">
        <f t="shared" si="13"/>
        <v>12.348972206448686</v>
      </c>
      <c r="AF25">
        <f t="shared" si="14"/>
        <v>19.484555960129651</v>
      </c>
      <c r="AG25">
        <f t="shared" si="15"/>
        <v>29.651630849451802</v>
      </c>
      <c r="AH25">
        <f t="shared" si="16"/>
        <v>43.761950161782096</v>
      </c>
      <c r="AI25">
        <f t="shared" si="17"/>
        <v>47.354737961361955</v>
      </c>
      <c r="AJ25">
        <f t="shared" si="18"/>
        <v>48.247082168741528</v>
      </c>
      <c r="AK25">
        <f t="shared" si="19"/>
        <v>39.803808028330543</v>
      </c>
      <c r="AL25">
        <f t="shared" si="20"/>
        <v>32.369670419426917</v>
      </c>
      <c r="AM25">
        <f t="shared" si="21"/>
        <v>24.31515918796304</v>
      </c>
      <c r="AN25">
        <f t="shared" si="22"/>
        <v>15.499272868121841</v>
      </c>
      <c r="AO25">
        <f t="shared" si="23"/>
        <v>10.504687705254771</v>
      </c>
    </row>
    <row r="26" spans="1:41" x14ac:dyDescent="0.25">
      <c r="A26" s="87" t="str">
        <f>"HTBeam at Beta = " &amp; HTBar!B36</f>
        <v>HTBeam at Beta = 75</v>
      </c>
      <c r="B26" s="88">
        <f>HTBar!$E$3*(1-HTBar!$E$10)*HTBar!$E36</f>
        <v>11.825517749596317</v>
      </c>
      <c r="C26" s="88">
        <f>HTBar!$F$3*(1-HTBar!$F$10)*HTBar!$F36</f>
        <v>13.301091491991475</v>
      </c>
      <c r="D26" s="88">
        <f>HTBar!$G$3*(1-HTBar!$G$10)*HTBar!$G36</f>
        <v>12.001092160061434</v>
      </c>
      <c r="E26" s="88">
        <f>HTBar!$H$3*(1-HTBar!$H$10)*HTBar!$H36</f>
        <v>8.9396041222440701</v>
      </c>
      <c r="F26" s="88">
        <f>HTBar!$I$3*(1-HTBar!$I$10)*HTBar!$I36</f>
        <v>5.9711395393645708</v>
      </c>
      <c r="G26" s="88">
        <f>HTBar!$J$3*(1-HTBar!$J$10)*HTBar!$J36</f>
        <v>5.3067025032308131</v>
      </c>
      <c r="H26" s="88">
        <f>HTBar!$K$3*(1-HTBar!$K$10)*HTBar!$K36</f>
        <v>5.0036526994886046</v>
      </c>
      <c r="I26" s="88">
        <f>HTBar!$L$3*(1-HTBar!$L$10)*HTBar!$L36</f>
        <v>6.5247933615003664</v>
      </c>
      <c r="J26" s="88">
        <f>HTBar!$M$3*(1-HTBar!$M$10)*HTBar!$M36</f>
        <v>7.2914602141145508</v>
      </c>
      <c r="K26" s="88">
        <f>HTBar!$N$3*(1-HTBar!$N$10)*HTBar!$N36</f>
        <v>7.1724813347971716</v>
      </c>
      <c r="L26" s="88">
        <f>HTBar!$O$3*(1-HTBar!$O$10)*HTBar!$O36</f>
        <v>8.0135058176422049</v>
      </c>
      <c r="M26" s="88">
        <f>HTBar!$P$3*(1-HTBar!$P$10)*HTBar!$P36</f>
        <v>9.4988010634115447</v>
      </c>
      <c r="O26" s="84" t="s">
        <v>127</v>
      </c>
      <c r="P26">
        <v>1.261091081186718</v>
      </c>
      <c r="Q26">
        <v>1.9295682316393512</v>
      </c>
      <c r="R26">
        <v>3.1946267161470434</v>
      </c>
      <c r="S26">
        <v>4.4582356518164836</v>
      </c>
      <c r="T26">
        <v>5.4586831392041706</v>
      </c>
      <c r="U26">
        <v>5.8739136368624534</v>
      </c>
      <c r="V26">
        <v>5.6647690952817245</v>
      </c>
      <c r="W26">
        <v>4.8784453134978172</v>
      </c>
      <c r="X26">
        <v>3.7188206189406818</v>
      </c>
      <c r="Y26">
        <v>2.3251412712293602</v>
      </c>
      <c r="Z26">
        <v>1.4723564510652092</v>
      </c>
      <c r="AA26">
        <v>1.1072621307334098</v>
      </c>
      <c r="AC26" s="84" t="s">
        <v>127</v>
      </c>
      <c r="AD26">
        <f t="shared" si="12"/>
        <v>9.2480642131897408</v>
      </c>
      <c r="AE26">
        <f t="shared" si="13"/>
        <v>11.953008182103142</v>
      </c>
      <c r="AF26">
        <f t="shared" si="14"/>
        <v>19.044040895436133</v>
      </c>
      <c r="AG26">
        <f t="shared" si="15"/>
        <v>29.385003770905321</v>
      </c>
      <c r="AH26">
        <f t="shared" si="16"/>
        <v>44.039952396968118</v>
      </c>
      <c r="AI26">
        <f t="shared" si="17"/>
        <v>47.816555258636988</v>
      </c>
      <c r="AJ26">
        <f t="shared" si="18"/>
        <v>48.600699302139269</v>
      </c>
      <c r="AK26">
        <f t="shared" si="19"/>
        <v>39.841077407079815</v>
      </c>
      <c r="AL26">
        <f t="shared" si="20"/>
        <v>31.999836113703893</v>
      </c>
      <c r="AM26">
        <f t="shared" si="21"/>
        <v>23.741996496523143</v>
      </c>
      <c r="AN26">
        <f t="shared" si="22"/>
        <v>14.965555097503758</v>
      </c>
      <c r="AO26">
        <f t="shared" si="23"/>
        <v>10.09239432056202</v>
      </c>
    </row>
    <row r="27" spans="1:41" x14ac:dyDescent="0.25">
      <c r="A27" s="89" t="str">
        <f>"HTBeam at Beta = " &amp; HTBar!B37</f>
        <v>HTBeam at Beta = 78</v>
      </c>
      <c r="B27" s="88">
        <f>HTBar!$E$3*(1-HTBar!$E$10)*HTBar!$E37</f>
        <v>11.7986615086346</v>
      </c>
      <c r="C27" s="88">
        <f>HTBar!$F$3*(1-HTBar!$F$10)*HTBar!$F37</f>
        <v>13.170743306176922</v>
      </c>
      <c r="D27" s="88">
        <f>HTBar!$G$3*(1-HTBar!$G$10)*HTBar!$G37</f>
        <v>11.721052432408928</v>
      </c>
      <c r="E27" s="88">
        <f>HTBar!$H$3*(1-HTBar!$H$10)*HTBar!$H37</f>
        <v>8.5303877336993459</v>
      </c>
      <c r="F27" s="88">
        <f>HTBar!$I$3*(1-HTBar!$I$10)*HTBar!$I37</f>
        <v>5.5612881234934646</v>
      </c>
      <c r="G27" s="88">
        <f>HTBar!$J$3*(1-HTBar!$J$10)*HTBar!$J37</f>
        <v>4.8737169706234482</v>
      </c>
      <c r="H27" s="88">
        <f>HTBar!$K$3*(1-HTBar!$K$10)*HTBar!$K37</f>
        <v>4.625348457295007</v>
      </c>
      <c r="I27" s="88">
        <f>HTBar!$L$3*(1-HTBar!$L$10)*HTBar!$L37</f>
        <v>6.1665937256861163</v>
      </c>
      <c r="J27" s="88">
        <f>HTBar!$M$3*(1-HTBar!$M$10)*HTBar!$M37</f>
        <v>7.0621673568515675</v>
      </c>
      <c r="K27" s="88">
        <f>HTBar!$N$3*(1-HTBar!$N$10)*HTBar!$N37</f>
        <v>7.0753574254531735</v>
      </c>
      <c r="L27" s="88">
        <f>HTBar!$O$3*(1-HTBar!$O$10)*HTBar!$O37</f>
        <v>7.9812629588483235</v>
      </c>
      <c r="M27" s="88">
        <f>HTBar!$P$3*(1-HTBar!$P$10)*HTBar!$P37</f>
        <v>9.4941390775638386</v>
      </c>
      <c r="O27" s="84" t="s">
        <v>128</v>
      </c>
      <c r="P27">
        <v>1.2127309862503277</v>
      </c>
      <c r="Q27">
        <v>1.855573494652939</v>
      </c>
      <c r="R27">
        <v>3.0721197429521983</v>
      </c>
      <c r="S27">
        <v>4.2872720294524598</v>
      </c>
      <c r="T27">
        <v>5.2493545357608946</v>
      </c>
      <c r="U27">
        <v>5.6486618486573423</v>
      </c>
      <c r="V27">
        <v>5.4475375445020928</v>
      </c>
      <c r="W27">
        <v>4.6913675662817047</v>
      </c>
      <c r="X27">
        <v>3.5762119518377946</v>
      </c>
      <c r="Y27">
        <v>2.23597717016272</v>
      </c>
      <c r="Z27">
        <v>1.4158947895595897</v>
      </c>
      <c r="AA27">
        <v>1.0648010408402453</v>
      </c>
      <c r="AC27" s="84" t="s">
        <v>128</v>
      </c>
      <c r="AD27">
        <f t="shared" si="12"/>
        <v>8.8950312291789135</v>
      </c>
      <c r="AE27">
        <f t="shared" si="13"/>
        <v>11.572367169433207</v>
      </c>
      <c r="AF27">
        <f t="shared" si="14"/>
        <v>18.61658266276125</v>
      </c>
      <c r="AG27">
        <f t="shared" si="15"/>
        <v>29.133880256373807</v>
      </c>
      <c r="AH27">
        <f t="shared" si="16"/>
        <v>44.376034259796732</v>
      </c>
      <c r="AI27">
        <f t="shared" si="17"/>
        <v>48.34611429301097</v>
      </c>
      <c r="AJ27">
        <f t="shared" si="18"/>
        <v>49.013988245198121</v>
      </c>
      <c r="AK27">
        <f t="shared" si="19"/>
        <v>39.920828076983632</v>
      </c>
      <c r="AL27">
        <f t="shared" si="20"/>
        <v>31.651829485403997</v>
      </c>
      <c r="AM27">
        <f t="shared" si="21"/>
        <v>23.188535602078183</v>
      </c>
      <c r="AN27">
        <f t="shared" si="22"/>
        <v>14.453187929832898</v>
      </c>
      <c r="AO27">
        <f t="shared" si="23"/>
        <v>9.6991888342322383</v>
      </c>
    </row>
    <row r="28" spans="1:41" x14ac:dyDescent="0.25">
      <c r="A28" s="89" t="str">
        <f>"HTBeam at Beta = " &amp; HTBar!B38</f>
        <v>HTBeam at Beta = 81</v>
      </c>
      <c r="B28" s="88">
        <f>HTBar!$E$3*(1-HTBar!$E$10)*HTBar!$E38</f>
        <v>11.739465956592625</v>
      </c>
      <c r="C28" s="88">
        <f>HTBar!$F$3*(1-HTBar!$F$10)*HTBar!$F38</f>
        <v>13.004295028447281</v>
      </c>
      <c r="D28" s="88">
        <f>HTBar!$G$3*(1-HTBar!$G$10)*HTBar!$G38</f>
        <v>11.408886114759561</v>
      </c>
      <c r="E28" s="88">
        <f>HTBar!$H$3*(1-HTBar!$H$10)*HTBar!$H38</f>
        <v>8.0991021508726657</v>
      </c>
      <c r="F28" s="88">
        <f>HTBar!$I$3*(1-HTBar!$I$10)*HTBar!$I38</f>
        <v>5.1405651343907257</v>
      </c>
      <c r="G28" s="88">
        <f>HTBar!$J$3*(1-HTBar!$J$10)*HTBar!$J38</f>
        <v>4.434064823414861</v>
      </c>
      <c r="H28" s="88">
        <f>HTBar!$K$3*(1-HTBar!$K$10)*HTBar!$K38</f>
        <v>4.2393639390755462</v>
      </c>
      <c r="I28" s="88">
        <f>HTBar!$L$3*(1-HTBar!$L$10)*HTBar!$L38</f>
        <v>5.7936262657415654</v>
      </c>
      <c r="J28" s="88">
        <f>HTBar!$M$3*(1-HTBar!$M$10)*HTBar!$M38</f>
        <v>6.8135699155180323</v>
      </c>
      <c r="K28" s="88">
        <f>HTBar!$N$3*(1-HTBar!$N$10)*HTBar!$N38</f>
        <v>6.9588404532080741</v>
      </c>
      <c r="L28" s="88">
        <f>HTBar!$O$3*(1-HTBar!$O$10)*HTBar!$O38</f>
        <v>7.9271440130550248</v>
      </c>
      <c r="M28" s="88">
        <f>HTBar!$P$3*(1-HTBar!$P$10)*HTBar!$P38</f>
        <v>9.4634543164340492</v>
      </c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</row>
    <row r="29" spans="1:41" x14ac:dyDescent="0.25">
      <c r="A29" s="89" t="str">
        <f>"HTBeam at Beta = " &amp; HTBar!B39</f>
        <v>HTBeam at Beta = 84</v>
      </c>
      <c r="B29" s="88">
        <f>HTBar!$E$3*(1-HTBar!$E$10)*HTBar!$E39</f>
        <v>11.6480933443639</v>
      </c>
      <c r="C29" s="88">
        <f>HTBar!$F$3*(1-HTBar!$F$10)*HTBar!$F39</f>
        <v>12.802202881962131</v>
      </c>
      <c r="D29" s="88">
        <f>HTBar!$G$3*(1-HTBar!$G$10)*HTBar!$G39</f>
        <v>11.065448833291585</v>
      </c>
      <c r="E29" s="88">
        <f>HTBar!$H$3*(1-HTBar!$H$10)*HTBar!$H39</f>
        <v>7.6470611991453357</v>
      </c>
      <c r="F29" s="88">
        <f>HTBar!$I$3*(1-HTBar!$I$10)*HTBar!$I39</f>
        <v>4.710581910340168</v>
      </c>
      <c r="G29" s="88">
        <f>HTBar!$J$3*(1-HTBar!$J$10)*HTBar!$J39</f>
        <v>3.9896760086942975</v>
      </c>
      <c r="H29" s="88">
        <f>HTBar!$K$3*(1-HTBar!$K$10)*HTBar!$K39</f>
        <v>3.8472899279518091</v>
      </c>
      <c r="I29" s="88">
        <f>HTBar!$L$3*(1-HTBar!$L$10)*HTBar!$L39</f>
        <v>5.4071306201140397</v>
      </c>
      <c r="J29" s="88">
        <f>HTBar!$M$3*(1-HTBar!$M$10)*HTBar!$M39</f>
        <v>6.546354465846</v>
      </c>
      <c r="K29" s="88">
        <f>HTBar!$N$3*(1-HTBar!$N$10)*HTBar!$N39</f>
        <v>6.823249782983801</v>
      </c>
      <c r="L29" s="88">
        <f>HTBar!$O$3*(1-HTBar!$O$10)*HTBar!$O39</f>
        <v>7.8512973165309665</v>
      </c>
      <c r="M29" s="88">
        <f>HTBar!$P$3*(1-HTBar!$P$10)*HTBar!$P39</f>
        <v>9.4068308848195574</v>
      </c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</row>
    <row r="30" spans="1:41" x14ac:dyDescent="0.25">
      <c r="A30" s="89" t="str">
        <f>"HTBeam at Beta = " &amp; HTBar!B40</f>
        <v>HTBeam at Beta = 87</v>
      </c>
      <c r="B30" s="88">
        <f>HTBar!$E$3*(1-HTBar!$E$10)*HTBar!$E40</f>
        <v>11.524794117927316</v>
      </c>
      <c r="C30" s="88">
        <f>HTBar!$F$3*(1-HTBar!$F$10)*HTBar!$F40</f>
        <v>12.565020787247732</v>
      </c>
      <c r="D30" s="88">
        <f>HTBar!$G$3*(1-HTBar!$G$10)*HTBar!$G40</f>
        <v>10.691681925721475</v>
      </c>
      <c r="E30" s="88">
        <f>HTBar!$H$3*(1-HTBar!$H$10)*HTBar!$H40</f>
        <v>7.1756677556384227</v>
      </c>
      <c r="F30" s="88">
        <f>HTBar!$I$3*(1-HTBar!$I$10)*HTBar!$I40</f>
        <v>4.2730915481117586</v>
      </c>
      <c r="G30" s="88">
        <f>HTBar!$J$3*(1-HTBar!$J$10)*HTBar!$J40</f>
        <v>3.5426835967237671</v>
      </c>
      <c r="H30" s="88">
        <f>HTBar!$K$3*(1-HTBar!$K$10)*HTBar!$K40</f>
        <v>3.4508714875510753</v>
      </c>
      <c r="I30" s="88">
        <f>HTBar!$L$3*(1-HTBar!$L$10)*HTBar!$L40</f>
        <v>5.0084372714811334</v>
      </c>
      <c r="J30" s="88">
        <f>HTBar!$M$3*(1-HTBar!$M$10)*HTBar!$M40</f>
        <v>6.2612598674509945</v>
      </c>
      <c r="K30" s="88">
        <f>HTBar!$N$3*(1-HTBar!$N$10)*HTBar!$N40</f>
        <v>6.6689570593826453</v>
      </c>
      <c r="L30" s="88">
        <f>HTBar!$O$3*(1-HTBar!$O$10)*HTBar!$O40</f>
        <v>7.7539307597992835</v>
      </c>
      <c r="M30" s="88">
        <f>HTBar!$P$3*(1-HTBar!$P$10)*HTBar!$P40</f>
        <v>9.3244239836105756</v>
      </c>
      <c r="O30" s="85" t="s">
        <v>129</v>
      </c>
      <c r="P30">
        <v>1.1011962340048336E-3</v>
      </c>
      <c r="Q30">
        <v>1.6231790366827523E-3</v>
      </c>
      <c r="R30">
        <v>2.6419829001325642E-3</v>
      </c>
      <c r="S30">
        <v>2.7529905850120842E-3</v>
      </c>
      <c r="T30">
        <v>1.1256179246783278E-3</v>
      </c>
      <c r="U30">
        <v>1.3468932432048367E-3</v>
      </c>
      <c r="V30">
        <v>1.226018208558249E-3</v>
      </c>
      <c r="W30">
        <v>9.9018854912531415E-4</v>
      </c>
      <c r="X30">
        <v>7.9678849369077336E-4</v>
      </c>
      <c r="Y30">
        <v>4.3292997103012602E-4</v>
      </c>
      <c r="Z30">
        <v>6.7862698023012926E-4</v>
      </c>
      <c r="AA30">
        <v>7.6669307690121493E-4</v>
      </c>
      <c r="AC30" s="85" t="s">
        <v>129</v>
      </c>
      <c r="AD30">
        <f>$P30*100/$P44</f>
        <v>1.9070407160379717E-2</v>
      </c>
      <c r="AE30">
        <f>$Q30*100/$Q44</f>
        <v>1.7846082819913432E-2</v>
      </c>
      <c r="AF30">
        <f>$R30*100/$R44</f>
        <v>1.9747477182415832E-2</v>
      </c>
      <c r="AG30">
        <f>$S30*100/$S44</f>
        <v>1.6145946335382164E-2</v>
      </c>
      <c r="AH30">
        <f>$T30*100/$T44</f>
        <v>6.1325538641952984E-3</v>
      </c>
      <c r="AI30">
        <f>$U30*100/$U44</f>
        <v>6.845206678415143E-3</v>
      </c>
      <c r="AJ30">
        <f>$V30*100/$V44</f>
        <v>6.8327192961502598E-3</v>
      </c>
      <c r="AK30">
        <f>$W30*100/$W44</f>
        <v>6.0964360560771709E-3</v>
      </c>
      <c r="AL30">
        <f>$X30*100/$X44</f>
        <v>6.6801622637904885E-3</v>
      </c>
      <c r="AM30">
        <f>$Y30*100/$Y44</f>
        <v>5.8876074659832394E-3</v>
      </c>
      <c r="AN30">
        <f>$Z30*100/$Z44</f>
        <v>1.3276842290137833E-2</v>
      </c>
      <c r="AO30">
        <f>$AA30*100/$AA44</f>
        <v>1.7133565142289101E-2</v>
      </c>
    </row>
    <row r="31" spans="1:41" x14ac:dyDescent="0.25">
      <c r="A31" s="89" t="str">
        <f>"HTBeam at Beta = " &amp; HTBar!B41</f>
        <v>HTBeam at Beta = 90</v>
      </c>
      <c r="B31" s="88">
        <f>HTBar!$E$3*(1-HTBar!$E$10)*HTBar!$E41</f>
        <v>11.369906231892109</v>
      </c>
      <c r="C31" s="88">
        <f>HTBar!$F$3*(1-HTBar!$F$10)*HTBar!$F41</f>
        <v>12.293398843939375</v>
      </c>
      <c r="D31" s="88">
        <f>HTBar!$G$3*(1-HTBar!$G$10)*HTBar!$G41</f>
        <v>10.288609861162662</v>
      </c>
      <c r="E31" s="88">
        <f>HTBar!$H$3*(1-HTBar!$H$10)*HTBar!$H41</f>
        <v>6.686419340036803</v>
      </c>
      <c r="F31" s="88">
        <f>HTBar!$I$3*(1-HTBar!$I$10)*HTBar!$I41</f>
        <v>3.8300205478598119</v>
      </c>
      <c r="G31" s="88">
        <f>HTBar!$J$3*(1-HTBar!$J$10)*HTBar!$J41</f>
        <v>3.0954808239045555</v>
      </c>
      <c r="H31" s="88">
        <f>HTBar!$K$3*(1-HTBar!$K$10)*HTBar!$K41</f>
        <v>3.0520474897300076</v>
      </c>
      <c r="I31" s="88">
        <f>HTBar!$L$3*(1-HTBar!$L$10)*HTBar!$L41</f>
        <v>4.5989800093384741</v>
      </c>
      <c r="J31" s="88">
        <f>HTBar!$M$3*(1-HTBar!$M$10)*HTBar!$M41</f>
        <v>5.9590755999220058</v>
      </c>
      <c r="K31" s="88">
        <f>HTBar!$N$3*(1-HTBar!$N$10)*HTBar!$N41</f>
        <v>6.4963851880352443</v>
      </c>
      <c r="L31" s="88">
        <f>HTBar!$O$3*(1-HTBar!$O$10)*HTBar!$O41</f>
        <v>7.6353112178241069</v>
      </c>
      <c r="M31" s="88">
        <f>HTBar!$P$3*(1-HTBar!$P$10)*HTBar!$P41</f>
        <v>9.2164594843952781</v>
      </c>
      <c r="O31" s="85" t="s">
        <v>130</v>
      </c>
      <c r="P31">
        <v>9.8926645649948988E-3</v>
      </c>
      <c r="Q31">
        <v>1.4581929399118829E-2</v>
      </c>
      <c r="R31">
        <v>2.3734417000693404E-2</v>
      </c>
      <c r="S31">
        <v>2.4731661412487251E-2</v>
      </c>
      <c r="T31">
        <v>1.0112058335589544E-2</v>
      </c>
      <c r="U31">
        <v>1.2099898863098599E-2</v>
      </c>
      <c r="V31">
        <v>1.1014010503589751E-2</v>
      </c>
      <c r="W31">
        <v>8.8954201532010588E-3</v>
      </c>
      <c r="X31">
        <v>7.1579987779869011E-3</v>
      </c>
      <c r="Y31">
        <v>3.8892532059959777E-3</v>
      </c>
      <c r="Z31">
        <v>6.0964875040996789E-3</v>
      </c>
      <c r="AA31">
        <v>6.8876347374561275E-3</v>
      </c>
      <c r="AC31" s="85" t="s">
        <v>130</v>
      </c>
      <c r="AD31">
        <f t="shared" ref="AD31:AD41" si="24">$P31*100/$P45</f>
        <v>0.14294570013651547</v>
      </c>
      <c r="AE31">
        <f t="shared" ref="AE31:AE41" si="25">$Q31*100/$Q45</f>
        <v>0.1414117077816795</v>
      </c>
      <c r="AF31">
        <f t="shared" ref="AF31:AF41" si="26">$R31*100/$R45</f>
        <v>0.16531548003827248</v>
      </c>
      <c r="AG31">
        <f t="shared" ref="AG31:AG41" si="27">$S31*100/$S45</f>
        <v>0.14065807235003244</v>
      </c>
      <c r="AH31">
        <f t="shared" ref="AH31:AH41" si="28">$T31*100/$T45</f>
        <v>5.4732519732023213E-2</v>
      </c>
      <c r="AI31">
        <f t="shared" ref="AI31:AI41" si="29">$U31*100/$U45</f>
        <v>6.1608377159208159E-2</v>
      </c>
      <c r="AJ31">
        <f t="shared" ref="AJ31:AJ41" si="30">$V31*100/$V45</f>
        <v>6.1289560460663868E-2</v>
      </c>
      <c r="AK31">
        <f t="shared" ref="AK31:AK41" si="31">$W31*100/$W45</f>
        <v>5.3817527256375203E-2</v>
      </c>
      <c r="AL31">
        <f t="shared" ref="AL31:AL41" si="32">$X31*100/$X45</f>
        <v>5.7463328545711768E-2</v>
      </c>
      <c r="AM31">
        <f t="shared" ref="AM31:AM41" si="33">$Y31*100/$Y45</f>
        <v>4.8764466618853267E-2</v>
      </c>
      <c r="AN31">
        <f t="shared" ref="AN31:AN41" si="34">$Z31*100/$Z45</f>
        <v>0.10381756284895251</v>
      </c>
      <c r="AO31">
        <f t="shared" ref="AO31:AO41" si="35">$AA31*100/$AA45</f>
        <v>0.12741014435174902</v>
      </c>
    </row>
    <row r="32" spans="1:41" x14ac:dyDescent="0.25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O32" s="85" t="s">
        <v>131</v>
      </c>
      <c r="P32">
        <v>1.7558839858372453E-2</v>
      </c>
      <c r="Q32">
        <v>2.5881981690880549E-2</v>
      </c>
      <c r="R32">
        <v>4.2127055305369393E-2</v>
      </c>
      <c r="S32">
        <v>4.3897099645931137E-2</v>
      </c>
      <c r="T32">
        <v>1.7948249613296038E-2</v>
      </c>
      <c r="U32">
        <v>2.147653799881577E-2</v>
      </c>
      <c r="V32">
        <v>1.9549156383537433E-2</v>
      </c>
      <c r="W32">
        <v>1.5788795517810716E-2</v>
      </c>
      <c r="X32">
        <v>1.2704984933365374E-2</v>
      </c>
      <c r="Y32">
        <v>6.903172928190782E-3</v>
      </c>
      <c r="Z32">
        <v>1.0820871068634099E-2</v>
      </c>
      <c r="AA32">
        <v>1.2225106245479749E-2</v>
      </c>
      <c r="AC32" s="85" t="s">
        <v>131</v>
      </c>
      <c r="AD32">
        <f t="shared" si="24"/>
        <v>0.23495540978421633</v>
      </c>
      <c r="AE32">
        <f t="shared" si="25"/>
        <v>0.23768566888023498</v>
      </c>
      <c r="AF32">
        <f t="shared" si="26"/>
        <v>0.28453205584719587</v>
      </c>
      <c r="AG32">
        <f t="shared" si="27"/>
        <v>0.24658223247094332</v>
      </c>
      <c r="AH32">
        <f t="shared" si="28"/>
        <v>9.7067281420176815E-2</v>
      </c>
      <c r="AI32">
        <f t="shared" si="29"/>
        <v>0.10968969410334829</v>
      </c>
      <c r="AJ32">
        <f t="shared" si="30"/>
        <v>0.10894941841146391</v>
      </c>
      <c r="AK32">
        <f t="shared" si="31"/>
        <v>9.495505158804371E-2</v>
      </c>
      <c r="AL32">
        <f t="shared" si="32"/>
        <v>0.10016199192897686</v>
      </c>
      <c r="AM32">
        <f t="shared" si="33"/>
        <v>8.3543289979146493E-2</v>
      </c>
      <c r="AN32">
        <f t="shared" si="34"/>
        <v>0.17352778775194563</v>
      </c>
      <c r="AO32">
        <f t="shared" si="35"/>
        <v>0.20877642969577773</v>
      </c>
    </row>
    <row r="33" spans="1:41" x14ac:dyDescent="0.25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O33" s="85" t="s">
        <v>132</v>
      </c>
      <c r="P33">
        <v>5.3369455700968453E-2</v>
      </c>
      <c r="Q33">
        <v>7.8667342856714284E-2</v>
      </c>
      <c r="R33">
        <v>0.12804365379869448</v>
      </c>
      <c r="S33">
        <v>0.13342363925242115</v>
      </c>
      <c r="T33">
        <v>5.4553052500788325E-2</v>
      </c>
      <c r="U33">
        <v>6.5277156838550121E-2</v>
      </c>
      <c r="V33">
        <v>5.9418950455603324E-2</v>
      </c>
      <c r="W33">
        <v>4.7989470247241803E-2</v>
      </c>
      <c r="X33">
        <v>3.8616340034526908E-2</v>
      </c>
      <c r="Y33">
        <v>2.0981943269533967E-2</v>
      </c>
      <c r="Z33">
        <v>3.2889644407115642E-2</v>
      </c>
      <c r="AA33">
        <v>3.7157766200405465E-2</v>
      </c>
      <c r="AC33" s="85" t="s">
        <v>132</v>
      </c>
      <c r="AD33">
        <f t="shared" si="24"/>
        <v>0.59091601704962848</v>
      </c>
      <c r="AE33">
        <f t="shared" si="25"/>
        <v>0.63033597191794277</v>
      </c>
      <c r="AF33">
        <f t="shared" si="26"/>
        <v>0.8014939724556418</v>
      </c>
      <c r="AG33">
        <f t="shared" si="27"/>
        <v>0.730524253784539</v>
      </c>
      <c r="AH33">
        <f t="shared" si="28"/>
        <v>0.29736218506590062</v>
      </c>
      <c r="AI33">
        <f t="shared" si="29"/>
        <v>0.33972010923471763</v>
      </c>
      <c r="AJ33">
        <f t="shared" si="30"/>
        <v>0.33589728044865458</v>
      </c>
      <c r="AK33">
        <f t="shared" si="31"/>
        <v>0.28670251934614605</v>
      </c>
      <c r="AL33">
        <f t="shared" si="32"/>
        <v>0.29224385980752321</v>
      </c>
      <c r="AM33">
        <f t="shared" si="33"/>
        <v>0.23259539379229074</v>
      </c>
      <c r="AN33">
        <f t="shared" si="34"/>
        <v>0.45386228804587919</v>
      </c>
      <c r="AO33">
        <f t="shared" si="35"/>
        <v>0.52137995962065631</v>
      </c>
    </row>
    <row r="34" spans="1:41" x14ac:dyDescent="0.25">
      <c r="A34" s="87" t="str">
        <f>"HTSky at Beta = " &amp; HTBar!B12</f>
        <v>HTSky at Beta = 3</v>
      </c>
      <c r="B34" s="88">
        <f>(HTBar!$E$11*((1+COS(HTBar!$B12*PI()/180))/2))</f>
        <v>1.925455430835612</v>
      </c>
      <c r="C34" s="88">
        <f>(HTBar!$F$11*((1+COS(HTBar!$B12*PI()/180))/2))</f>
        <v>2.9460977769200225</v>
      </c>
      <c r="D34" s="88">
        <f>(HTBar!$G$11*((1+COS(HTBar!$B12*PI()/180))/2))</f>
        <v>4.8776107069994605</v>
      </c>
      <c r="E34" s="88">
        <f>(HTBar!$H$11*((1+COS(HTBar!$B12*PI()/180))/2))</f>
        <v>6.8069104411214383</v>
      </c>
      <c r="F34" s="88">
        <f>(HTBar!$I$11*((1+COS(HTBar!$B12*PI()/180))/2))</f>
        <v>8.3344107752319232</v>
      </c>
      <c r="G34" s="88">
        <f>(HTBar!$J$11*((1+COS(HTBar!$B12*PI()/180))/2))</f>
        <v>8.9683918006249161</v>
      </c>
      <c r="H34" s="88">
        <f>(HTBar!$K$11*((1+COS(HTBar!$B12*PI()/180))/2))</f>
        <v>8.6490663376002406</v>
      </c>
      <c r="I34" s="88">
        <f>(HTBar!$L$11*((1+COS(HTBar!$B12*PI()/180))/2))</f>
        <v>7.4484937393020427</v>
      </c>
      <c r="J34" s="88">
        <f>(HTBar!$M$11*((1+COS(HTBar!$B12*PI()/180))/2))</f>
        <v>5.6779589229230387</v>
      </c>
      <c r="K34" s="88">
        <f>(HTBar!$N$11*((1+COS(HTBar!$B12*PI()/180))/2))</f>
        <v>3.5500654591384979</v>
      </c>
      <c r="L34" s="88">
        <f>(HTBar!$O$11*((1+COS(HTBar!$B12*PI()/180))/2))</f>
        <v>2.2480190107772313</v>
      </c>
      <c r="M34" s="88">
        <f>(HTBar!$P$11*((1+COS(HTBar!$B12*PI()/180))/2))</f>
        <v>1.6905867583910006</v>
      </c>
      <c r="O34" s="85" t="s">
        <v>133</v>
      </c>
      <c r="P34">
        <v>0.1076512675511278</v>
      </c>
      <c r="Q34">
        <v>0.15867951175771083</v>
      </c>
      <c r="R34">
        <v>0.25827622658435906</v>
      </c>
      <c r="S34">
        <v>0.2691281688778196</v>
      </c>
      <c r="T34">
        <v>0.11003869485568912</v>
      </c>
      <c r="U34">
        <v>0.13167023316065363</v>
      </c>
      <c r="V34">
        <v>0.11985367377444114</v>
      </c>
      <c r="W34">
        <v>9.6799325257667351E-2</v>
      </c>
      <c r="X34">
        <v>7.7892830239727345E-2</v>
      </c>
      <c r="Y34">
        <v>4.232257494449581E-2</v>
      </c>
      <c r="Z34">
        <v>6.6341540554021639E-2</v>
      </c>
      <c r="AA34">
        <v>7.4950748106833637E-2</v>
      </c>
      <c r="AC34" s="85" t="s">
        <v>133</v>
      </c>
      <c r="AD34">
        <f t="shared" si="24"/>
        <v>1.0339998168533666</v>
      </c>
      <c r="AE34">
        <f t="shared" si="25"/>
        <v>1.1474037146136784</v>
      </c>
      <c r="AF34">
        <f t="shared" si="26"/>
        <v>1.5319145728847063</v>
      </c>
      <c r="AG34">
        <f t="shared" si="27"/>
        <v>1.4609961932881423</v>
      </c>
      <c r="AH34">
        <f t="shared" si="28"/>
        <v>0.61441394663036897</v>
      </c>
      <c r="AI34">
        <f t="shared" si="29"/>
        <v>0.70906291203127192</v>
      </c>
      <c r="AJ34">
        <f t="shared" si="30"/>
        <v>0.69796636161070624</v>
      </c>
      <c r="AK34">
        <f t="shared" si="31"/>
        <v>0.58436236487909698</v>
      </c>
      <c r="AL34">
        <f t="shared" si="32"/>
        <v>0.57688164130296726</v>
      </c>
      <c r="AM34">
        <f t="shared" si="33"/>
        <v>0.4404937262318972</v>
      </c>
      <c r="AN34">
        <f t="shared" si="34"/>
        <v>0.81712826985544218</v>
      </c>
      <c r="AO34">
        <f t="shared" si="35"/>
        <v>0.90770795168108864</v>
      </c>
    </row>
    <row r="35" spans="1:41" x14ac:dyDescent="0.25">
      <c r="A35" s="91" t="str">
        <f>"HTSky at Beta = " &amp; HTBar!B13</f>
        <v>HTSky at Beta = 6</v>
      </c>
      <c r="B35" s="88">
        <f>(HTBar!$E$11*((1+COS(HTBar!$B13*PI()/180))/2))</f>
        <v>1.9214981809167382</v>
      </c>
      <c r="C35" s="88">
        <f>(HTBar!$F$11*((1+COS(HTBar!$B13*PI()/180))/2))</f>
        <v>2.9400428742710156</v>
      </c>
      <c r="D35" s="88">
        <f>(HTBar!$G$11*((1+COS(HTBar!$B13*PI()/180))/2))</f>
        <v>4.8675861048895097</v>
      </c>
      <c r="E35" s="88">
        <f>(HTBar!$H$11*((1+COS(HTBar!$B13*PI()/180))/2))</f>
        <v>6.792920688172849</v>
      </c>
      <c r="F35" s="88">
        <f>(HTBar!$I$11*((1+COS(HTBar!$B13*PI()/180))/2))</f>
        <v>8.3172816608229567</v>
      </c>
      <c r="G35" s="88">
        <f>(HTBar!$J$11*((1+COS(HTBar!$B13*PI()/180))/2))</f>
        <v>8.9499597106595576</v>
      </c>
      <c r="H35" s="88">
        <f>(HTBar!$K$11*((1+COS(HTBar!$B13*PI()/180))/2))</f>
        <v>8.631290534268377</v>
      </c>
      <c r="I35" s="88">
        <f>(HTBar!$L$11*((1+COS(HTBar!$B13*PI()/180))/2))</f>
        <v>7.433185386393145</v>
      </c>
      <c r="J35" s="88">
        <f>(HTBar!$M$11*((1+COS(HTBar!$B13*PI()/180))/2))</f>
        <v>5.6662894227480312</v>
      </c>
      <c r="K35" s="88">
        <f>(HTBar!$N$11*((1+COS(HTBar!$B13*PI()/180))/2))</f>
        <v>3.5427692651964362</v>
      </c>
      <c r="L35" s="88">
        <f>(HTBar!$O$11*((1+COS(HTBar!$B13*PI()/180))/2))</f>
        <v>2.2433988191562992</v>
      </c>
      <c r="M35" s="88">
        <f>(HTBar!$P$11*((1+COS(HTBar!$B13*PI()/180))/2))</f>
        <v>1.6871122171446271</v>
      </c>
      <c r="O35" s="85" t="s">
        <v>134</v>
      </c>
      <c r="P35">
        <v>0.15345866467984223</v>
      </c>
      <c r="Q35">
        <v>0.22620027186231231</v>
      </c>
      <c r="R35">
        <v>0.3681770382439763</v>
      </c>
      <c r="S35">
        <v>0.38364666169960565</v>
      </c>
      <c r="T35">
        <v>0.15686198184008068</v>
      </c>
      <c r="U35">
        <v>0.18769809792830164</v>
      </c>
      <c r="V35">
        <v>0.17085339683217202</v>
      </c>
      <c r="W35">
        <v>0.13798904122421299</v>
      </c>
      <c r="X35">
        <v>0.11103751947040556</v>
      </c>
      <c r="Y35">
        <v>6.0331531476954095E-2</v>
      </c>
      <c r="Z35">
        <v>9.4570964725413528E-2</v>
      </c>
      <c r="AA35">
        <v>0.10684353266687943</v>
      </c>
      <c r="AC35" s="85" t="s">
        <v>134</v>
      </c>
      <c r="AD35">
        <f t="shared" si="24"/>
        <v>1.368400352487642</v>
      </c>
      <c r="AE35">
        <f t="shared" si="25"/>
        <v>1.5516675159449032</v>
      </c>
      <c r="AF35">
        <f t="shared" si="26"/>
        <v>2.130747086993618</v>
      </c>
      <c r="AG35">
        <f t="shared" si="27"/>
        <v>2.0904253825336494</v>
      </c>
      <c r="AH35">
        <f t="shared" si="28"/>
        <v>0.89849888203534223</v>
      </c>
      <c r="AI35">
        <f t="shared" si="29"/>
        <v>1.0436412698971411</v>
      </c>
      <c r="AJ35">
        <f t="shared" si="30"/>
        <v>1.0242009697237133</v>
      </c>
      <c r="AK35">
        <f t="shared" si="31"/>
        <v>0.84700470680262607</v>
      </c>
      <c r="AL35">
        <f t="shared" si="32"/>
        <v>0.81902176316854169</v>
      </c>
      <c r="AM35">
        <f t="shared" si="33"/>
        <v>0.6095729604611031</v>
      </c>
      <c r="AN35">
        <f t="shared" si="34"/>
        <v>1.0980494796655607</v>
      </c>
      <c r="AO35">
        <f t="shared" si="35"/>
        <v>1.1979959839094207</v>
      </c>
    </row>
    <row r="36" spans="1:41" x14ac:dyDescent="0.25">
      <c r="A36" s="87" t="str">
        <f>"HTSky at Beta = " &amp; HTBar!B14</f>
        <v>HTSky at Beta = 9</v>
      </c>
      <c r="B36" s="88">
        <f>(HTBar!$E$11*((1+COS(HTBar!$B14*PI()/180))/2))</f>
        <v>1.9149148172062334</v>
      </c>
      <c r="C36" s="88">
        <f>(HTBar!$F$11*((1+COS(HTBar!$B14*PI()/180))/2))</f>
        <v>2.9299698116170765</v>
      </c>
      <c r="D36" s="88">
        <f>(HTBar!$G$11*((1+COS(HTBar!$B14*PI()/180))/2))</f>
        <v>4.8509089672065588</v>
      </c>
      <c r="E36" s="88">
        <f>(HTBar!$H$11*((1+COS(HTBar!$B14*PI()/180))/2))</f>
        <v>6.7696470426440678</v>
      </c>
      <c r="F36" s="88">
        <f>(HTBar!$I$11*((1+COS(HTBar!$B14*PI()/180))/2))</f>
        <v>8.2887853079251439</v>
      </c>
      <c r="G36" s="88">
        <f>(HTBar!$J$11*((1+COS(HTBar!$B14*PI()/180))/2))</f>
        <v>8.9192957003811166</v>
      </c>
      <c r="H36" s="88">
        <f>(HTBar!$K$11*((1+COS(HTBar!$B14*PI()/180))/2))</f>
        <v>8.6017183361562672</v>
      </c>
      <c r="I36" s="88">
        <f>(HTBar!$L$11*((1+COS(HTBar!$B14*PI()/180))/2))</f>
        <v>7.4077180903986779</v>
      </c>
      <c r="J36" s="88">
        <f>(HTBar!$M$11*((1+COS(HTBar!$B14*PI()/180))/2))</f>
        <v>5.6468757982494955</v>
      </c>
      <c r="K36" s="88">
        <f>(HTBar!$N$11*((1+COS(HTBar!$B14*PI()/180))/2))</f>
        <v>3.5306311643921675</v>
      </c>
      <c r="L36" s="88">
        <f>(HTBar!$O$11*((1+COS(HTBar!$B14*PI()/180))/2))</f>
        <v>2.2357125717682447</v>
      </c>
      <c r="M36" s="88">
        <f>(HTBar!$P$11*((1+COS(HTBar!$B14*PI()/180))/2))</f>
        <v>1.6813318976750558</v>
      </c>
      <c r="O36" s="85" t="s">
        <v>135</v>
      </c>
      <c r="P36">
        <v>0.29784847938363457</v>
      </c>
      <c r="Q36">
        <v>0.4390329288405726</v>
      </c>
      <c r="R36">
        <v>0.71459615013412325</v>
      </c>
      <c r="S36">
        <v>0.74462119845908659</v>
      </c>
      <c r="T36">
        <v>0.30445399001512652</v>
      </c>
      <c r="U36">
        <v>0.36430391967621972</v>
      </c>
      <c r="V36">
        <v>0.33160997816681537</v>
      </c>
      <c r="W36">
        <v>0.2678234310586714</v>
      </c>
      <c r="X36">
        <v>0.21551312464362449</v>
      </c>
      <c r="Y36">
        <v>0.11709768846735631</v>
      </c>
      <c r="Z36">
        <v>0.18355312875994148</v>
      </c>
      <c r="AA36">
        <v>0.20737300043107898</v>
      </c>
      <c r="AC36" s="85" t="s">
        <v>135</v>
      </c>
      <c r="AD36">
        <f t="shared" si="24"/>
        <v>2.3354381654726311</v>
      </c>
      <c r="AE36">
        <f t="shared" si="25"/>
        <v>2.7676098224762469</v>
      </c>
      <c r="AF36">
        <f t="shared" si="26"/>
        <v>4.0365802304112499</v>
      </c>
      <c r="AG36">
        <f t="shared" si="27"/>
        <v>4.2349251766815819</v>
      </c>
      <c r="AH36">
        <f t="shared" si="28"/>
        <v>1.9270803019265752</v>
      </c>
      <c r="AI36">
        <f t="shared" si="29"/>
        <v>2.2741112348470209</v>
      </c>
      <c r="AJ36">
        <f t="shared" si="30"/>
        <v>2.2135520608213888</v>
      </c>
      <c r="AK36">
        <f t="shared" si="31"/>
        <v>1.776544466647779</v>
      </c>
      <c r="AL36">
        <f t="shared" si="32"/>
        <v>1.6312925747064673</v>
      </c>
      <c r="AM36">
        <f t="shared" si="33"/>
        <v>1.1433103792462542</v>
      </c>
      <c r="AN36">
        <f t="shared" si="34"/>
        <v>1.9317086524837013</v>
      </c>
      <c r="AO36">
        <f t="shared" si="35"/>
        <v>2.0334235991036169</v>
      </c>
    </row>
    <row r="37" spans="1:41" x14ac:dyDescent="0.25">
      <c r="A37" s="87" t="str">
        <f>"HTSky at Beta = " &amp; HTBar!B15</f>
        <v>HTSky at Beta = 12</v>
      </c>
      <c r="B37" s="88">
        <f>(HTBar!$E$11*((1+COS(HTBar!$B15*PI()/180))/2))</f>
        <v>1.9057233842464241</v>
      </c>
      <c r="C37" s="88">
        <f>(HTBar!$F$11*((1+COS(HTBar!$B15*PI()/180))/2))</f>
        <v>2.9159061985227699</v>
      </c>
      <c r="D37" s="88">
        <f>(HTBar!$G$11*((1+COS(HTBar!$B15*PI()/180))/2))</f>
        <v>4.8276250048257845</v>
      </c>
      <c r="E37" s="88">
        <f>(HTBar!$H$11*((1+COS(HTBar!$B15*PI()/180))/2))</f>
        <v>6.7371532959797573</v>
      </c>
      <c r="F37" s="88">
        <f>(HTBar!$I$11*((1+COS(HTBar!$B15*PI()/180))/2))</f>
        <v>8.2489998230610198</v>
      </c>
      <c r="G37" s="88">
        <f>(HTBar!$J$11*((1+COS(HTBar!$B15*PI()/180))/2))</f>
        <v>8.8764838177103371</v>
      </c>
      <c r="H37" s="88">
        <f>(HTBar!$K$11*((1+COS(HTBar!$B15*PI()/180))/2))</f>
        <v>8.5604307986034005</v>
      </c>
      <c r="I37" s="88">
        <f>(HTBar!$L$11*((1+COS(HTBar!$B15*PI()/180))/2))</f>
        <v>7.3721616554067539</v>
      </c>
      <c r="J37" s="88">
        <f>(HTBar!$M$11*((1+COS(HTBar!$B15*PI()/180))/2))</f>
        <v>5.6197712608227581</v>
      </c>
      <c r="K37" s="88">
        <f>(HTBar!$N$11*((1+COS(HTBar!$B15*PI()/180))/2))</f>
        <v>3.5136844264162876</v>
      </c>
      <c r="L37" s="88">
        <f>(HTBar!$O$11*((1+COS(HTBar!$B15*PI()/180))/2))</f>
        <v>2.2249813360828936</v>
      </c>
      <c r="M37" s="88">
        <f>(HTBar!$P$11*((1+COS(HTBar!$B15*PI()/180))/2))</f>
        <v>1.6732616434361669</v>
      </c>
      <c r="O37" s="85" t="s">
        <v>136</v>
      </c>
      <c r="P37">
        <v>0.33122279407795197</v>
      </c>
      <c r="Q37">
        <v>0.48822714718479493</v>
      </c>
      <c r="R37">
        <v>0.79466759063057024</v>
      </c>
      <c r="S37">
        <v>0.82805698519488014</v>
      </c>
      <c r="T37">
        <v>0.33856846088210013</v>
      </c>
      <c r="U37">
        <v>0.40512465404695741</v>
      </c>
      <c r="V37">
        <v>0.36876731329915358</v>
      </c>
      <c r="W37">
        <v>0.29783339951364235</v>
      </c>
      <c r="X37">
        <v>0.23966165431715614</v>
      </c>
      <c r="Y37">
        <v>0.13021863880080772</v>
      </c>
      <c r="Z37">
        <v>0.20412049876981317</v>
      </c>
      <c r="AA37">
        <v>0.23060941845749888</v>
      </c>
      <c r="AC37" s="85" t="s">
        <v>136</v>
      </c>
      <c r="AD37">
        <f t="shared" si="24"/>
        <v>2.5529988618702562</v>
      </c>
      <c r="AE37">
        <f t="shared" si="25"/>
        <v>3.048735295066574</v>
      </c>
      <c r="AF37">
        <f t="shared" si="26"/>
        <v>4.4950961831767815</v>
      </c>
      <c r="AG37">
        <f t="shared" si="27"/>
        <v>4.7783571643817071</v>
      </c>
      <c r="AH37">
        <f t="shared" si="28"/>
        <v>2.2010020256179765</v>
      </c>
      <c r="AI37">
        <f t="shared" si="29"/>
        <v>2.6056246447413169</v>
      </c>
      <c r="AJ37">
        <f t="shared" si="30"/>
        <v>2.531673109686821</v>
      </c>
      <c r="AK37">
        <f t="shared" si="31"/>
        <v>2.0197408714779708</v>
      </c>
      <c r="AL37">
        <f t="shared" si="32"/>
        <v>1.8350203321112293</v>
      </c>
      <c r="AM37">
        <f t="shared" si="33"/>
        <v>1.2711259769850538</v>
      </c>
      <c r="AN37">
        <f t="shared" si="34"/>
        <v>2.1225267816404569</v>
      </c>
      <c r="AO37">
        <f t="shared" si="35"/>
        <v>2.2207394075891558</v>
      </c>
    </row>
    <row r="38" spans="1:41" x14ac:dyDescent="0.25">
      <c r="A38" s="91" t="str">
        <f>"HTSky at Beta = " &amp; HTBar!B16</f>
        <v>HTSky at Beta = 15</v>
      </c>
      <c r="B38" s="88">
        <f>(HTBar!$E$11*((1+COS(HTBar!$B16*PI()/180))/2))</f>
        <v>1.8939490751161643</v>
      </c>
      <c r="C38" s="88">
        <f>(HTBar!$F$11*((1+COS(HTBar!$B16*PI()/180))/2))</f>
        <v>2.8978905823740368</v>
      </c>
      <c r="D38" s="88">
        <f>(HTBar!$G$11*((1+COS(HTBar!$B16*PI()/180))/2))</f>
        <v>4.7977980374696241</v>
      </c>
      <c r="E38" s="88">
        <f>(HTBar!$H$11*((1+COS(HTBar!$B16*PI()/180))/2))</f>
        <v>6.6955285112809104</v>
      </c>
      <c r="F38" s="88">
        <f>(HTBar!$I$11*((1+COS(HTBar!$B16*PI()/180))/2))</f>
        <v>8.1980342554791399</v>
      </c>
      <c r="G38" s="88">
        <f>(HTBar!$J$11*((1+COS(HTBar!$B16*PI()/180))/2))</f>
        <v>8.8216414070418043</v>
      </c>
      <c r="H38" s="88">
        <f>(HTBar!$K$11*((1+COS(HTBar!$B16*PI()/180))/2))</f>
        <v>8.5075410878803464</v>
      </c>
      <c r="I38" s="88">
        <f>(HTBar!$L$11*((1+COS(HTBar!$B16*PI()/180))/2))</f>
        <v>7.3266135391341862</v>
      </c>
      <c r="J38" s="88">
        <f>(HTBar!$M$11*((1+COS(HTBar!$B16*PI()/180))/2))</f>
        <v>5.585050102120892</v>
      </c>
      <c r="K38" s="88">
        <f>(HTBar!$N$11*((1+COS(HTBar!$B16*PI()/180))/2))</f>
        <v>3.4919755010996343</v>
      </c>
      <c r="L38" s="88">
        <f>(HTBar!$O$11*((1+COS(HTBar!$B16*PI()/180))/2))</f>
        <v>2.2112345256713408</v>
      </c>
      <c r="M38" s="88">
        <f>(HTBar!$P$11*((1+COS(HTBar!$B16*PI()/180))/2))</f>
        <v>1.6629235744338733</v>
      </c>
      <c r="O38" s="85" t="s">
        <v>137</v>
      </c>
      <c r="P38">
        <v>0.47669897255573307</v>
      </c>
      <c r="Q38">
        <v>0.70266111994102254</v>
      </c>
      <c r="R38">
        <v>1.1436930994784724</v>
      </c>
      <c r="S38">
        <v>1.1917474313893328</v>
      </c>
      <c r="T38">
        <v>0.48727092557612234</v>
      </c>
      <c r="U38">
        <v>0.58305922718510361</v>
      </c>
      <c r="V38">
        <v>0.53073339910438921</v>
      </c>
      <c r="W38">
        <v>0.4286446406448729</v>
      </c>
      <c r="X38">
        <v>0.34492331571572982</v>
      </c>
      <c r="Y38">
        <v>0.1874118944523547</v>
      </c>
      <c r="Z38">
        <v>0.29377214908172528</v>
      </c>
      <c r="AA38">
        <v>0.33189525239767448</v>
      </c>
      <c r="AC38" s="85" t="s">
        <v>137</v>
      </c>
      <c r="AD38">
        <f t="shared" si="24"/>
        <v>3.5197125014903881</v>
      </c>
      <c r="AE38">
        <f t="shared" si="25"/>
        <v>4.3244045467634074</v>
      </c>
      <c r="AF38">
        <f t="shared" si="26"/>
        <v>6.6424150706955576</v>
      </c>
      <c r="AG38">
        <f t="shared" si="27"/>
        <v>7.4457346275017935</v>
      </c>
      <c r="AH38">
        <f t="shared" si="28"/>
        <v>3.6162389133182842</v>
      </c>
      <c r="AI38">
        <f t="shared" si="29"/>
        <v>4.3369013333482069</v>
      </c>
      <c r="AJ38">
        <f t="shared" si="30"/>
        <v>4.1800675130098996</v>
      </c>
      <c r="AK38">
        <f t="shared" si="31"/>
        <v>3.2544899464197807</v>
      </c>
      <c r="AL38">
        <f t="shared" si="32"/>
        <v>2.8275134404912912</v>
      </c>
      <c r="AM38">
        <f t="shared" si="33"/>
        <v>1.868284242127529</v>
      </c>
      <c r="AN38">
        <f t="shared" si="34"/>
        <v>2.9811155204244084</v>
      </c>
      <c r="AO38">
        <f t="shared" si="35"/>
        <v>3.0508737625771194</v>
      </c>
    </row>
    <row r="39" spans="1:41" x14ac:dyDescent="0.25">
      <c r="A39" s="91" t="str">
        <f>"HTSky at Beta = " &amp; HTBar!B17</f>
        <v>HTSky at Beta = 18</v>
      </c>
      <c r="B39" s="88">
        <f>(HTBar!$E$11*((1+COS(HTBar!$B17*PI()/180))/2))</f>
        <v>1.8796241623783583</v>
      </c>
      <c r="C39" s="88">
        <f>(HTBar!$F$11*((1+COS(HTBar!$B17*PI()/180))/2))</f>
        <v>2.8759723427224921</v>
      </c>
      <c r="D39" s="88">
        <f>(HTBar!$G$11*((1+COS(HTBar!$B17*PI()/180))/2))</f>
        <v>4.7615098187823532</v>
      </c>
      <c r="E39" s="88">
        <f>(HTBar!$H$11*((1+COS(HTBar!$B17*PI()/180))/2))</f>
        <v>6.6448867791890862</v>
      </c>
      <c r="F39" s="88">
        <f>(HTBar!$I$11*((1+COS(HTBar!$B17*PI()/180))/2))</f>
        <v>8.1360282982576759</v>
      </c>
      <c r="G39" s="88">
        <f>(HTBar!$J$11*((1+COS(HTBar!$B17*PI()/180))/2))</f>
        <v>8.7549187876111105</v>
      </c>
      <c r="H39" s="88">
        <f>(HTBar!$K$11*((1+COS(HTBar!$B17*PI()/180))/2))</f>
        <v>8.4431941710078799</v>
      </c>
      <c r="I39" s="88">
        <f>(HTBar!$L$11*((1+COS(HTBar!$B17*PI()/180))/2))</f>
        <v>7.2711985858016694</v>
      </c>
      <c r="J39" s="88">
        <f>(HTBar!$M$11*((1+COS(HTBar!$B17*PI()/180))/2))</f>
        <v>5.5428074904264628</v>
      </c>
      <c r="K39" s="88">
        <f>(HTBar!$N$11*((1+COS(HTBar!$B17*PI()/180))/2))</f>
        <v>3.465563891097533</v>
      </c>
      <c r="L39" s="88">
        <f>(HTBar!$O$11*((1+COS(HTBar!$B17*PI()/180))/2))</f>
        <v>2.1945098195853956</v>
      </c>
      <c r="M39" s="88">
        <f>(HTBar!$P$11*((1+COS(HTBar!$B17*PI()/180))/2))</f>
        <v>1.6503460265967203</v>
      </c>
      <c r="O39" s="85" t="s">
        <v>138</v>
      </c>
      <c r="P39">
        <v>0.51556418518136027</v>
      </c>
      <c r="Q39">
        <v>0.75994900055854642</v>
      </c>
      <c r="R39">
        <v>1.2369382668665698</v>
      </c>
      <c r="S39">
        <v>1.2889104629534007</v>
      </c>
      <c r="T39">
        <v>0.52699806832046303</v>
      </c>
      <c r="U39">
        <v>0.63059597918687882</v>
      </c>
      <c r="V39">
        <v>0.57400403233677433</v>
      </c>
      <c r="W39">
        <v>0.46359198909452959</v>
      </c>
      <c r="X39">
        <v>0.37304487413436238</v>
      </c>
      <c r="Y39">
        <v>0.20269156473863958</v>
      </c>
      <c r="Z39">
        <v>0.31772335874415819</v>
      </c>
      <c r="AA39">
        <v>0.35895463430637725</v>
      </c>
      <c r="AC39" s="85" t="s">
        <v>138</v>
      </c>
      <c r="AD39">
        <f t="shared" si="24"/>
        <v>3.7891840121848652</v>
      </c>
      <c r="AE39">
        <f t="shared" si="25"/>
        <v>4.686870780524127</v>
      </c>
      <c r="AF39">
        <f t="shared" si="26"/>
        <v>7.2701986562310044</v>
      </c>
      <c r="AG39">
        <f t="shared" si="27"/>
        <v>8.2610675287441691</v>
      </c>
      <c r="AH39">
        <f t="shared" si="28"/>
        <v>4.0714177338212609</v>
      </c>
      <c r="AI39">
        <f t="shared" si="29"/>
        <v>4.8990845766930677</v>
      </c>
      <c r="AJ39">
        <f t="shared" si="30"/>
        <v>4.7112011126585429</v>
      </c>
      <c r="AK39">
        <f t="shared" si="31"/>
        <v>3.6450791543540104</v>
      </c>
      <c r="AL39">
        <f t="shared" si="32"/>
        <v>3.1291183046594444</v>
      </c>
      <c r="AM39">
        <f t="shared" si="33"/>
        <v>2.0426375273884099</v>
      </c>
      <c r="AN39">
        <f t="shared" si="34"/>
        <v>3.2231117583801505</v>
      </c>
      <c r="AO39">
        <f t="shared" si="35"/>
        <v>3.28170941051328</v>
      </c>
    </row>
    <row r="40" spans="1:41" x14ac:dyDescent="0.25">
      <c r="A40" s="87" t="str">
        <f>"HTSky at Beta = " &amp; HTBar!B18</f>
        <v>HTSky at Beta = 21</v>
      </c>
      <c r="B40" s="88">
        <f>(HTBar!$E$11*((1+COS(HTBar!$B18*PI()/180))/2))</f>
        <v>1.8627879096231073</v>
      </c>
      <c r="C40" s="88">
        <f>(HTBar!$F$11*((1+COS(HTBar!$B18*PI()/180))/2))</f>
        <v>2.8502115559395009</v>
      </c>
      <c r="D40" s="88">
        <f>(HTBar!$G$11*((1+COS(HTBar!$B18*PI()/180))/2))</f>
        <v>4.71885981224903</v>
      </c>
      <c r="E40" s="88">
        <f>(HTBar!$H$11*((1+COS(HTBar!$B18*PI()/180))/2))</f>
        <v>6.5853669051718819</v>
      </c>
      <c r="F40" s="88">
        <f>(HTBar!$I$11*((1+COS(HTBar!$B18*PI()/180))/2))</f>
        <v>8.0631519054153902</v>
      </c>
      <c r="G40" s="88">
        <f>(HTBar!$J$11*((1+COS(HTBar!$B18*PI()/180))/2))</f>
        <v>8.6764988414802815</v>
      </c>
      <c r="H40" s="88">
        <f>(HTBar!$K$11*((1+COS(HTBar!$B18*PI()/180))/2))</f>
        <v>8.3675664184124461</v>
      </c>
      <c r="I40" s="88">
        <f>(HTBar!$L$11*((1+COS(HTBar!$B18*PI()/180))/2))</f>
        <v>7.2060686839444399</v>
      </c>
      <c r="J40" s="88">
        <f>(HTBar!$M$11*((1+COS(HTBar!$B18*PI()/180))/2))</f>
        <v>5.493159209801874</v>
      </c>
      <c r="K40" s="88">
        <f>(HTBar!$N$11*((1+COS(HTBar!$B18*PI()/180))/2))</f>
        <v>3.4345219887971496</v>
      </c>
      <c r="L40" s="88">
        <f>(HTBar!$O$11*((1+COS(HTBar!$B18*PI()/180))/2))</f>
        <v>2.1748530590819186</v>
      </c>
      <c r="M40" s="88">
        <f>(HTBar!$P$11*((1+COS(HTBar!$B18*PI()/180))/2))</f>
        <v>1.6355634741090739</v>
      </c>
      <c r="O40" s="85" t="s">
        <v>139</v>
      </c>
      <c r="P40">
        <v>0.55521866467984227</v>
      </c>
      <c r="Q40">
        <v>0.81840027186231246</v>
      </c>
      <c r="R40">
        <v>1.3320770382439762</v>
      </c>
      <c r="S40">
        <v>1.3880466616996059</v>
      </c>
      <c r="T40">
        <v>0.56753198184008069</v>
      </c>
      <c r="U40">
        <v>0.67909809792830167</v>
      </c>
      <c r="V40">
        <v>0.61815339683217208</v>
      </c>
      <c r="W40">
        <v>0.49924904122421299</v>
      </c>
      <c r="X40">
        <v>0.40173751947040559</v>
      </c>
      <c r="Y40">
        <v>0.21828153147695406</v>
      </c>
      <c r="Z40">
        <v>0.34216096472541352</v>
      </c>
      <c r="AA40">
        <v>0.38656353266687948</v>
      </c>
      <c r="AC40" s="85" t="s">
        <v>139</v>
      </c>
      <c r="AD40">
        <f t="shared" si="24"/>
        <v>4.0716312563948724</v>
      </c>
      <c r="AE40">
        <f t="shared" si="25"/>
        <v>5.0697067796843989</v>
      </c>
      <c r="AF40">
        <f t="shared" si="26"/>
        <v>7.9408744264136031</v>
      </c>
      <c r="AG40">
        <f t="shared" si="27"/>
        <v>9.1488560887571566</v>
      </c>
      <c r="AH40">
        <f t="shared" si="28"/>
        <v>4.5787749218281339</v>
      </c>
      <c r="AI40">
        <f t="shared" si="29"/>
        <v>5.5281935917207123</v>
      </c>
      <c r="AJ40">
        <f t="shared" si="30"/>
        <v>5.3034266457673258</v>
      </c>
      <c r="AK40">
        <f t="shared" si="31"/>
        <v>4.0772456015424288</v>
      </c>
      <c r="AL40">
        <f t="shared" si="32"/>
        <v>3.4568848839611004</v>
      </c>
      <c r="AM40">
        <f t="shared" si="33"/>
        <v>2.2288707442027662</v>
      </c>
      <c r="AN40">
        <f t="shared" si="34"/>
        <v>3.4778458477962881</v>
      </c>
      <c r="AO40">
        <f t="shared" si="35"/>
        <v>3.5234218649196403</v>
      </c>
    </row>
    <row r="41" spans="1:41" x14ac:dyDescent="0.25">
      <c r="A41" s="91" t="str">
        <f>"HTSky at Beta = " &amp; HTBar!B19</f>
        <v>HTSky at Beta = 24</v>
      </c>
      <c r="B41" s="88">
        <f>(HTBar!$E$11*((1+COS(HTBar!$B19*PI()/180))/2))</f>
        <v>1.8434864638489405</v>
      </c>
      <c r="C41" s="88">
        <f>(HTBar!$F$11*((1+COS(HTBar!$B19*PI()/180))/2))</f>
        <v>2.8206788305510266</v>
      </c>
      <c r="D41" s="88">
        <f>(HTBar!$G$11*((1+COS(HTBar!$B19*PI()/180))/2))</f>
        <v>4.6699649185729983</v>
      </c>
      <c r="E41" s="88">
        <f>(HTBar!$H$11*((1+COS(HTBar!$B19*PI()/180))/2))</f>
        <v>6.5171320290668051</v>
      </c>
      <c r="F41" s="88">
        <f>(HTBar!$I$11*((1+COS(HTBar!$B19*PI()/180))/2))</f>
        <v>7.979604826079485</v>
      </c>
      <c r="G41" s="88">
        <f>(HTBar!$J$11*((1+COS(HTBar!$B19*PI()/180))/2))</f>
        <v>8.5865965122707593</v>
      </c>
      <c r="H41" s="88">
        <f>(HTBar!$K$11*((1+COS(HTBar!$B19*PI()/180))/2))</f>
        <v>8.2808651205070909</v>
      </c>
      <c r="I41" s="88">
        <f>(HTBar!$L$11*((1+COS(HTBar!$B19*PI()/180))/2))</f>
        <v>7.1314023500963657</v>
      </c>
      <c r="J41" s="88">
        <f>(HTBar!$M$11*((1+COS(HTBar!$B19*PI()/180))/2))</f>
        <v>5.4362413427333101</v>
      </c>
      <c r="K41" s="88">
        <f>(HTBar!$N$11*((1+COS(HTBar!$B19*PI()/180))/2))</f>
        <v>3.3989348778949946</v>
      </c>
      <c r="L41" s="88">
        <f>(HTBar!$O$11*((1+COS(HTBar!$B19*PI()/180))/2))</f>
        <v>2.1523181219751262</v>
      </c>
      <c r="M41" s="88">
        <f>(HTBar!$P$11*((1+COS(HTBar!$B19*PI()/180))/2))</f>
        <v>1.6186164349197807</v>
      </c>
      <c r="O41" s="85" t="s">
        <v>140</v>
      </c>
      <c r="P41">
        <v>0.59555372087922254</v>
      </c>
      <c r="Q41">
        <v>0.87785472298057465</v>
      </c>
      <c r="R41">
        <v>1.4288486448513604</v>
      </c>
      <c r="S41">
        <v>1.4888843021980567</v>
      </c>
      <c r="T41">
        <v>0.60876156549549565</v>
      </c>
      <c r="U41">
        <v>0.72843264247324258</v>
      </c>
      <c r="V41">
        <v>0.663060482251285</v>
      </c>
      <c r="W41">
        <v>0.53551806353252673</v>
      </c>
      <c r="X41">
        <v>0.43092260717739445</v>
      </c>
      <c r="Y41">
        <v>0.23413906365211368</v>
      </c>
      <c r="Z41">
        <v>0.36701798524613377</v>
      </c>
      <c r="AA41">
        <v>0.41464627340784593</v>
      </c>
      <c r="AC41" s="85" t="s">
        <v>140</v>
      </c>
      <c r="AD41">
        <f t="shared" si="24"/>
        <v>4.3682143904426471</v>
      </c>
      <c r="AE41">
        <f t="shared" si="25"/>
        <v>5.4747802795342091</v>
      </c>
      <c r="AF41">
        <f t="shared" si="26"/>
        <v>8.6586074551533638</v>
      </c>
      <c r="AG41">
        <f t="shared" si="27"/>
        <v>10.117617141586571</v>
      </c>
      <c r="AH41">
        <f t="shared" si="28"/>
        <v>5.146237294974374</v>
      </c>
      <c r="AI41">
        <f t="shared" si="29"/>
        <v>6.2345540822455598</v>
      </c>
      <c r="AJ41">
        <f t="shared" si="30"/>
        <v>5.9658585952692738</v>
      </c>
      <c r="AK41">
        <f t="shared" si="31"/>
        <v>4.5569493850905571</v>
      </c>
      <c r="AL41">
        <f t="shared" si="32"/>
        <v>3.8139486885768514</v>
      </c>
      <c r="AM41">
        <f t="shared" si="33"/>
        <v>2.4281741718047929</v>
      </c>
      <c r="AN41">
        <f t="shared" si="34"/>
        <v>3.74645062154723</v>
      </c>
      <c r="AO41">
        <f t="shared" si="35"/>
        <v>3.7769802535314931</v>
      </c>
    </row>
    <row r="42" spans="1:41" x14ac:dyDescent="0.25">
      <c r="A42" s="91" t="str">
        <f>"HTSky at Beta = " &amp; HTBar!B20</f>
        <v>HTSky at Beta = 27</v>
      </c>
      <c r="B42" s="88">
        <f>(HTBar!$E$11*((1+COS(HTBar!$B20*PI()/180))/2))</f>
        <v>1.8217727289770977</v>
      </c>
      <c r="C42" s="88">
        <f>(HTBar!$F$11*((1+COS(HTBar!$B20*PI()/180))/2))</f>
        <v>2.7874551137045636</v>
      </c>
      <c r="D42" s="88">
        <f>(HTBar!$G$11*((1+COS(HTBar!$B20*PI()/180))/2))</f>
        <v>4.6149591552591813</v>
      </c>
      <c r="E42" s="88">
        <f>(HTBar!$H$11*((1+COS(HTBar!$B20*PI()/180))/2))</f>
        <v>6.4403691779263115</v>
      </c>
      <c r="F42" s="88">
        <f>(HTBar!$I$11*((1+COS(HTBar!$B20*PI()/180))/2))</f>
        <v>7.8856160569871374</v>
      </c>
      <c r="G42" s="88">
        <f>(HTBar!$J$11*((1+COS(HTBar!$B20*PI()/180))/2))</f>
        <v>8.4854582160178751</v>
      </c>
      <c r="H42" s="88">
        <f>(HTBar!$K$11*((1+COS(HTBar!$B20*PI()/180))/2))</f>
        <v>8.1833279195228403</v>
      </c>
      <c r="I42" s="88">
        <f>(HTBar!$L$11*((1+COS(HTBar!$B20*PI()/180))/2))</f>
        <v>7.0474042394885315</v>
      </c>
      <c r="J42" s="88">
        <f>(HTBar!$M$11*((1+COS(HTBar!$B20*PI()/180))/2))</f>
        <v>5.3722098971380934</v>
      </c>
      <c r="K42" s="88">
        <f>(HTBar!$N$11*((1+COS(HTBar!$B20*PI()/180))/2))</f>
        <v>3.35890010018842</v>
      </c>
      <c r="L42" s="88">
        <f>(HTBar!$O$11*((1+COS(HTBar!$B20*PI()/180))/2))</f>
        <v>2.1269667749612431</v>
      </c>
      <c r="M42" s="88">
        <f>(HTBar!$P$11*((1+COS(HTBar!$B20*PI()/180))/2))</f>
        <v>1.5995513596852844</v>
      </c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</row>
    <row r="43" spans="1:41" x14ac:dyDescent="0.25">
      <c r="A43" s="87" t="str">
        <f>"HTSky at Beta = " &amp; HTBar!B21</f>
        <v>HTSky at Beta = 30</v>
      </c>
      <c r="B43" s="88">
        <f>(HTBar!$E$11*((1+COS(HTBar!$B21*PI()/180))/2))</f>
        <v>1.7977062208455594</v>
      </c>
      <c r="C43" s="88">
        <f>(HTBar!$F$11*((1+COS(HTBar!$B21*PI()/180))/2))</f>
        <v>2.7506314692986362</v>
      </c>
      <c r="D43" s="88">
        <f>(HTBar!$G$11*((1+COS(HTBar!$B21*PI()/180))/2))</f>
        <v>4.5539932892814177</v>
      </c>
      <c r="E43" s="88">
        <f>(HTBar!$H$11*((1+COS(HTBar!$B21*PI()/180))/2))</f>
        <v>6.3552887533896572</v>
      </c>
      <c r="F43" s="88">
        <f>(HTBar!$I$11*((1+COS(HTBar!$B21*PI()/180))/2))</f>
        <v>7.7814432148213486</v>
      </c>
      <c r="G43" s="88">
        <f>(HTBar!$J$11*((1+COS(HTBar!$B21*PI()/180))/2))</f>
        <v>8.3733611657616187</v>
      </c>
      <c r="H43" s="88">
        <f>(HTBar!$K$11*((1+COS(HTBar!$B21*PI()/180))/2))</f>
        <v>8.0752221581478612</v>
      </c>
      <c r="I43" s="88">
        <f>(HTBar!$L$11*((1+COS(HTBar!$B21*PI()/180))/2))</f>
        <v>6.9543045851034755</v>
      </c>
      <c r="J43" s="88">
        <f>(HTBar!$M$11*((1+COS(HTBar!$B21*PI()/180))/2))</f>
        <v>5.3012403787578295</v>
      </c>
      <c r="K43" s="88">
        <f>(HTBar!$N$11*((1+COS(HTBar!$B21*PI()/180))/2))</f>
        <v>3.3145273882203372</v>
      </c>
      <c r="L43" s="88">
        <f>(HTBar!$O$11*((1+COS(HTBar!$B21*PI()/180))/2))</f>
        <v>2.0988685043202846</v>
      </c>
      <c r="M43" s="88">
        <f>(HTBar!$P$11*((1+COS(HTBar!$B21*PI()/180))/2))</f>
        <v>1.5784205044516058</v>
      </c>
      <c r="O43" s="82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</row>
    <row r="44" spans="1:41" x14ac:dyDescent="0.25">
      <c r="A44" s="91" t="str">
        <f>"HTSky at Beta = " &amp; HTBar!B22</f>
        <v>HTSky at Beta = 33</v>
      </c>
      <c r="B44" s="88">
        <f>(HTBar!$E$11*((1+COS(HTBar!$B22*PI()/180))/2))</f>
        <v>1.7713529040802714</v>
      </c>
      <c r="C44" s="88">
        <f>(HTBar!$F$11*((1+COS(HTBar!$B22*PI()/180))/2))</f>
        <v>2.7103088283829799</v>
      </c>
      <c r="D44" s="88">
        <f>(HTBar!$G$11*((1+COS(HTBar!$B22*PI()/180))/2))</f>
        <v>4.4872344238406674</v>
      </c>
      <c r="E44" s="88">
        <f>(HTBar!$H$11*((1+COS(HTBar!$B22*PI()/180))/2))</f>
        <v>6.2621239549866266</v>
      </c>
      <c r="F44" s="88">
        <f>(HTBar!$I$11*((1+COS(HTBar!$B22*PI()/180))/2))</f>
        <v>7.6673718301015281</v>
      </c>
      <c r="G44" s="88">
        <f>(HTBar!$J$11*((1+COS(HTBar!$B22*PI()/180))/2))</f>
        <v>8.2506126117249714</v>
      </c>
      <c r="H44" s="88">
        <f>(HTBar!$K$11*((1+COS(HTBar!$B22*PI()/180))/2))</f>
        <v>7.9568441467597451</v>
      </c>
      <c r="I44" s="88">
        <f>(HTBar!$L$11*((1+COS(HTBar!$B22*PI()/180))/2))</f>
        <v>6.8523585666225886</v>
      </c>
      <c r="J44" s="88">
        <f>(HTBar!$M$11*((1+COS(HTBar!$B22*PI()/180))/2))</f>
        <v>5.2235273101093664</v>
      </c>
      <c r="K44" s="88">
        <f>(HTBar!$N$11*((1+COS(HTBar!$B22*PI()/180))/2))</f>
        <v>3.2659383645099398</v>
      </c>
      <c r="L44" s="88">
        <f>(HTBar!$O$11*((1+COS(HTBar!$B22*PI()/180))/2))</f>
        <v>2.0681003254589894</v>
      </c>
      <c r="M44" s="88">
        <f>(HTBar!$P$11*((1+COS(HTBar!$B22*PI()/180))/2))</f>
        <v>1.5552817874241518</v>
      </c>
      <c r="O44" s="93" t="s">
        <v>92</v>
      </c>
      <c r="P44" s="79">
        <v>5.7743719090206742</v>
      </c>
      <c r="Q44" s="79">
        <v>9.0954359736106287</v>
      </c>
      <c r="R44" s="79">
        <v>13.378837588859813</v>
      </c>
      <c r="S44" s="79">
        <v>17.050661062703963</v>
      </c>
      <c r="T44" s="79">
        <v>18.354798826149882</v>
      </c>
      <c r="U44" s="79">
        <v>19.676443772720098</v>
      </c>
      <c r="V44" s="79">
        <v>17.943342253925476</v>
      </c>
      <c r="W44" s="79">
        <v>16.242088656671051</v>
      </c>
      <c r="X44" s="79">
        <v>11.927681727279719</v>
      </c>
      <c r="Y44" s="79">
        <v>7.3532410836058695</v>
      </c>
      <c r="Z44" s="79">
        <v>5.1113582989098241</v>
      </c>
      <c r="AA44" s="79">
        <v>4.4748017737934855</v>
      </c>
    </row>
    <row r="45" spans="1:41" x14ac:dyDescent="0.25">
      <c r="A45" s="87" t="str">
        <f>"HTSky at Beta = " &amp; HTBar!B23</f>
        <v>HTSky at Beta = 36</v>
      </c>
      <c r="B45" s="88">
        <f>(HTBar!$E$11*((1+COS(HTBar!$B23*PI()/180))/2))</f>
        <v>1.7427850112906911</v>
      </c>
      <c r="C45" s="88">
        <f>(HTBar!$F$11*((1+COS(HTBar!$B23*PI()/180))/2))</f>
        <v>2.6665977125135534</v>
      </c>
      <c r="D45" s="88">
        <f>(HTBar!$G$11*((1+COS(HTBar!$B23*PI()/180))/2))</f>
        <v>4.4148655403467512</v>
      </c>
      <c r="E45" s="88">
        <f>(HTBar!$H$11*((1+COS(HTBar!$B23*PI()/180))/2))</f>
        <v>6.1611301409538388</v>
      </c>
      <c r="F45" s="88">
        <f>(HTBar!$I$11*((1+COS(HTBar!$B23*PI()/180))/2))</f>
        <v>7.5437145645641905</v>
      </c>
      <c r="G45" s="88">
        <f>(HTBar!$J$11*((1+COS(HTBar!$B23*PI()/180))/2))</f>
        <v>8.1175489991624037</v>
      </c>
      <c r="H45" s="88">
        <f>(HTBar!$K$11*((1+COS(HTBar!$B23*PI()/180))/2))</f>
        <v>7.8285183512593521</v>
      </c>
      <c r="I45" s="88">
        <f>(HTBar!$L$11*((1+COS(HTBar!$B23*PI()/180))/2))</f>
        <v>6.7418456109963474</v>
      </c>
      <c r="J45" s="88">
        <f>(HTBar!$M$11*((1+COS(HTBar!$B23*PI()/180))/2))</f>
        <v>5.1392836973121012</v>
      </c>
      <c r="K45" s="88">
        <f>(HTBar!$N$11*((1+COS(HTBar!$B23*PI()/180))/2))</f>
        <v>3.2132662081938377</v>
      </c>
      <c r="L45" s="88">
        <f>(HTBar!$O$11*((1+COS(HTBar!$B23*PI()/180))/2))</f>
        <v>2.0347465718169477</v>
      </c>
      <c r="M45" s="88">
        <f>(HTBar!$P$11*((1+COS(HTBar!$B23*PI()/180))/2))</f>
        <v>1.5301986302179429</v>
      </c>
      <c r="O45" s="93" t="s">
        <v>93</v>
      </c>
      <c r="P45" s="79">
        <v>6.9205751243634763</v>
      </c>
      <c r="Q45" s="79">
        <v>10.311684674391566</v>
      </c>
      <c r="R45" s="79">
        <v>14.357044479560297</v>
      </c>
      <c r="S45" s="79">
        <v>17.582824077769004</v>
      </c>
      <c r="T45" s="79">
        <v>18.475411665860367</v>
      </c>
      <c r="U45" s="79">
        <v>19.640022057114216</v>
      </c>
      <c r="V45" s="79">
        <v>17.970451118928533</v>
      </c>
      <c r="W45" s="79">
        <v>16.528853343307986</v>
      </c>
      <c r="X45" s="79">
        <v>12.456637927426623</v>
      </c>
      <c r="Y45" s="79">
        <v>7.9755885292351767</v>
      </c>
      <c r="Z45" s="79">
        <v>5.872308438765466</v>
      </c>
      <c r="AA45" s="79">
        <v>5.4058762530250419</v>
      </c>
    </row>
    <row r="46" spans="1:41" x14ac:dyDescent="0.25">
      <c r="A46" s="91" t="str">
        <f>"HTSky at Beta = " &amp; HTBar!B24</f>
        <v>HTSky at Beta = 39</v>
      </c>
      <c r="B46" s="88">
        <f>(HTBar!$E$11*((1+COS(HTBar!$B24*PI()/180))/2))</f>
        <v>1.7120808450852247</v>
      </c>
      <c r="C46" s="88">
        <f>(HTBar!$F$11*((1+COS(HTBar!$B24*PI()/180))/2))</f>
        <v>2.6196179308206315</v>
      </c>
      <c r="D46" s="88">
        <f>(HTBar!$G$11*((1+COS(HTBar!$B24*PI()/180))/2))</f>
        <v>4.3370849968790273</v>
      </c>
      <c r="E46" s="88">
        <f>(HTBar!$H$11*((1+COS(HTBar!$B24*PI()/180))/2))</f>
        <v>6.0525841283155639</v>
      </c>
      <c r="F46" s="88">
        <f>(HTBar!$I$11*((1+COS(HTBar!$B24*PI()/180))/2))</f>
        <v>7.410810354178861</v>
      </c>
      <c r="G46" s="88">
        <f>(HTBar!$J$11*((1+COS(HTBar!$B24*PI()/180))/2))</f>
        <v>7.9745350461868076</v>
      </c>
      <c r="H46" s="88">
        <f>(HTBar!$K$11*((1+COS(HTBar!$B24*PI()/180))/2))</f>
        <v>7.6905965037323316</v>
      </c>
      <c r="I46" s="88">
        <f>(HTBar!$L$11*((1+COS(HTBar!$B24*PI()/180))/2))</f>
        <v>6.6230686265544616</v>
      </c>
      <c r="J46" s="88">
        <f>(HTBar!$M$11*((1+COS(HTBar!$B24*PI()/180))/2))</f>
        <v>5.0487404462530092</v>
      </c>
      <c r="K46" s="88">
        <f>(HTBar!$N$11*((1+COS(HTBar!$B24*PI()/180))/2))</f>
        <v>3.1566552899912965</v>
      </c>
      <c r="L46" s="88">
        <f>(HTBar!$O$11*((1+COS(HTBar!$B24*PI()/180))/2))</f>
        <v>1.9988986637145008</v>
      </c>
      <c r="M46" s="88">
        <f>(HTBar!$P$11*((1+COS(HTBar!$B24*PI()/180))/2))</f>
        <v>1.5032397840233722</v>
      </c>
      <c r="O46" s="93" t="s">
        <v>94</v>
      </c>
      <c r="P46" s="79">
        <v>7.4732647673439558</v>
      </c>
      <c r="Q46" s="79">
        <v>10.889163748413438</v>
      </c>
      <c r="R46" s="79">
        <v>14.805732584307888</v>
      </c>
      <c r="S46" s="79">
        <v>17.802215190465464</v>
      </c>
      <c r="T46" s="79">
        <v>18.490524665673021</v>
      </c>
      <c r="U46" s="79">
        <v>19.57935809227514</v>
      </c>
      <c r="V46" s="79">
        <v>17.943332482700452</v>
      </c>
      <c r="W46" s="79">
        <v>16.627651982444679</v>
      </c>
      <c r="X46" s="79">
        <v>12.684437168915588</v>
      </c>
      <c r="Y46" s="79">
        <v>8.2629890801689818</v>
      </c>
      <c r="Z46" s="79">
        <v>6.2358145682709383</v>
      </c>
      <c r="AA46" s="79">
        <v>5.8555969480337309</v>
      </c>
    </row>
    <row r="47" spans="1:41" x14ac:dyDescent="0.25">
      <c r="A47" s="91" t="str">
        <f>"HTSky at Beta = " &amp; HTBar!B25</f>
        <v>HTSky at Beta = 42</v>
      </c>
      <c r="B47" s="88">
        <f>(HTBar!$E$11*((1+COS(HTBar!$B25*PI()/180))/2))</f>
        <v>1.6793245634492209</v>
      </c>
      <c r="C47" s="88">
        <f>(HTBar!$F$11*((1+COS(HTBar!$B25*PI()/180))/2))</f>
        <v>2.5694982516203106</v>
      </c>
      <c r="D47" s="88">
        <f>(HTBar!$G$11*((1+COS(HTBar!$B25*PI()/180))/2))</f>
        <v>4.254105984500681</v>
      </c>
      <c r="E47" s="88">
        <f>(HTBar!$H$11*((1+COS(HTBar!$B25*PI()/180))/2))</f>
        <v>5.9367834341475021</v>
      </c>
      <c r="F47" s="88">
        <f>(HTBar!$I$11*((1+COS(HTBar!$B25*PI()/180))/2))</f>
        <v>7.2690234801481477</v>
      </c>
      <c r="G47" s="88">
        <f>(HTBar!$J$11*((1+COS(HTBar!$B25*PI()/180))/2))</f>
        <v>7.821962744102513</v>
      </c>
      <c r="H47" s="88">
        <f>(HTBar!$K$11*((1+COS(HTBar!$B25*PI()/180))/2))</f>
        <v>7.5434566383759254</v>
      </c>
      <c r="I47" s="88">
        <f>(HTBar!$L$11*((1+COS(HTBar!$B25*PI()/180))/2))</f>
        <v>6.4963531727551995</v>
      </c>
      <c r="J47" s="88">
        <f>(HTBar!$M$11*((1+COS(HTBar!$B25*PI()/180))/2))</f>
        <v>4.9521457296896605</v>
      </c>
      <c r="K47" s="88">
        <f>(HTBar!$N$11*((1+COS(HTBar!$B25*PI()/180))/2))</f>
        <v>3.0962607764941321</v>
      </c>
      <c r="L47" s="88">
        <f>(HTBar!$O$11*((1+COS(HTBar!$B25*PI()/180))/2))</f>
        <v>1.9606548577759999</v>
      </c>
      <c r="M47" s="88">
        <f>(HTBar!$P$11*((1+COS(HTBar!$B25*PI()/180))/2))</f>
        <v>1.4744791411639728</v>
      </c>
      <c r="O47" s="93" t="s">
        <v>95</v>
      </c>
      <c r="P47" s="79">
        <v>9.0316481803007527</v>
      </c>
      <c r="Q47" s="79">
        <v>12.480224255225469</v>
      </c>
      <c r="R47" s="79">
        <v>15.975622799306951</v>
      </c>
      <c r="S47" s="79">
        <v>18.264094389913733</v>
      </c>
      <c r="T47" s="79">
        <v>18.34565901131592</v>
      </c>
      <c r="U47" s="79">
        <v>19.214981705262897</v>
      </c>
      <c r="V47" s="79">
        <v>17.689619390856048</v>
      </c>
      <c r="W47" s="79">
        <v>16.738419444895921</v>
      </c>
      <c r="X47" s="79">
        <v>13.213738711212031</v>
      </c>
      <c r="Y47" s="79">
        <v>9.0207905356332994</v>
      </c>
      <c r="Z47" s="79">
        <v>7.2466131849648088</v>
      </c>
      <c r="AA47" s="79">
        <v>7.1268113618023543</v>
      </c>
    </row>
    <row r="48" spans="1:41" x14ac:dyDescent="0.25">
      <c r="A48" s="91" t="str">
        <f>"HTSky at Beta = " &amp; HTBar!B26</f>
        <v>HTSky at Beta = 45</v>
      </c>
      <c r="B48" s="88">
        <f>(HTBar!$E$11*((1+COS(HTBar!$B26*PI()/180))/2))</f>
        <v>1.6446059490737828</v>
      </c>
      <c r="C48" s="88">
        <f>(HTBar!$F$11*((1+COS(HTBar!$B26*PI()/180))/2))</f>
        <v>2.516376049469502</v>
      </c>
      <c r="D48" s="88">
        <f>(HTBar!$G$11*((1+COS(HTBar!$B26*PI()/180))/2))</f>
        <v>4.1661559429168413</v>
      </c>
      <c r="E48" s="88">
        <f>(HTBar!$H$11*((1+COS(HTBar!$B26*PI()/180))/2))</f>
        <v>5.8140454601031601</v>
      </c>
      <c r="F48" s="88">
        <f>(HTBar!$I$11*((1+COS(HTBar!$B26*PI()/180))/2))</f>
        <v>7.1187425704382843</v>
      </c>
      <c r="G48" s="88">
        <f>(HTBar!$J$11*((1+COS(HTBar!$B26*PI()/180))/2))</f>
        <v>7.6602502829843617</v>
      </c>
      <c r="H48" s="88">
        <f>(HTBar!$K$11*((1+COS(HTBar!$B26*PI()/180))/2))</f>
        <v>7.387502055333508</v>
      </c>
      <c r="I48" s="88">
        <f>(HTBar!$L$11*((1+COS(HTBar!$B26*PI()/180))/2))</f>
        <v>6.362046567849541</v>
      </c>
      <c r="J48" s="88">
        <f>(HTBar!$M$11*((1+COS(HTBar!$B26*PI()/180))/2))</f>
        <v>4.8497643070259366</v>
      </c>
      <c r="K48" s="88">
        <f>(HTBar!$N$11*((1+COS(HTBar!$B26*PI()/180))/2))</f>
        <v>3.0322482048658692</v>
      </c>
      <c r="L48" s="88">
        <f>(HTBar!$O$11*((1+COS(HTBar!$B26*PI()/180))/2))</f>
        <v>1.9201199776152282</v>
      </c>
      <c r="M48" s="88">
        <f>(HTBar!$P$11*((1+COS(HTBar!$B26*PI()/180))/2))</f>
        <v>1.4439955325626943</v>
      </c>
      <c r="O48" s="93" t="s">
        <v>96</v>
      </c>
      <c r="P48" s="79">
        <v>10.411149576286048</v>
      </c>
      <c r="Q48" s="79">
        <v>13.829440303941924</v>
      </c>
      <c r="R48" s="79">
        <v>16.859701654120713</v>
      </c>
      <c r="S48" s="79">
        <v>18.420867221571282</v>
      </c>
      <c r="T48" s="79">
        <v>17.909537284948438</v>
      </c>
      <c r="U48" s="79">
        <v>18.569612220085563</v>
      </c>
      <c r="V48" s="79">
        <v>17.171840989278227</v>
      </c>
      <c r="W48" s="79">
        <v>16.564948579071288</v>
      </c>
      <c r="X48" s="79">
        <v>13.502393673647783</v>
      </c>
      <c r="Y48" s="79">
        <v>9.6079858631664496</v>
      </c>
      <c r="Z48" s="79">
        <v>8.1188649324001592</v>
      </c>
      <c r="AA48" s="79">
        <v>8.2571434973136171</v>
      </c>
    </row>
    <row r="49" spans="1:27" x14ac:dyDescent="0.25">
      <c r="A49" s="91" t="str">
        <f>"HTSky at Beta = " &amp; HTBar!B27</f>
        <v>HTSky at Beta = 48</v>
      </c>
      <c r="B49" s="88">
        <f>(HTBar!$E$11*((1+COS(HTBar!$B27*PI()/180))/2))</f>
        <v>1.6080201632676523</v>
      </c>
      <c r="C49" s="88">
        <f>(HTBar!$F$11*((1+COS(HTBar!$B27*PI()/180))/2))</f>
        <v>2.4603969286318224</v>
      </c>
      <c r="D49" s="88">
        <f>(HTBar!$G$11*((1+COS(HTBar!$B27*PI()/180))/2))</f>
        <v>4.0734759370781575</v>
      </c>
      <c r="E49" s="88">
        <f>(HTBar!$H$11*((1+COS(HTBar!$B27*PI()/180))/2))</f>
        <v>5.6847066224379832</v>
      </c>
      <c r="F49" s="88">
        <f>(HTBar!$I$11*((1+COS(HTBar!$B27*PI()/180))/2))</f>
        <v>6.9603795345768873</v>
      </c>
      <c r="G49" s="88">
        <f>(HTBar!$J$11*((1+COS(HTBar!$B27*PI()/180))/2))</f>
        <v>7.4898409054477835</v>
      </c>
      <c r="H49" s="88">
        <f>(HTBar!$K$11*((1+COS(HTBar!$B27*PI()/180))/2))</f>
        <v>7.2231602152769305</v>
      </c>
      <c r="I49" s="88">
        <f>(HTBar!$L$11*((1+COS(HTBar!$B27*PI()/180))/2))</f>
        <v>6.2205169369059963</v>
      </c>
      <c r="J49" s="88">
        <f>(HTBar!$M$11*((1+COS(HTBar!$B27*PI()/180))/2))</f>
        <v>4.7418767986249151</v>
      </c>
      <c r="K49" s="88">
        <f>(HTBar!$N$11*((1+COS(HTBar!$B27*PI()/180))/2))</f>
        <v>2.9647930291158824</v>
      </c>
      <c r="L49" s="88">
        <f>(HTBar!$O$11*((1+COS(HTBar!$B27*PI()/180))/2))</f>
        <v>1.8774051265211618</v>
      </c>
      <c r="M49" s="88">
        <f>(HTBar!$P$11*((1+COS(HTBar!$B27*PI()/180))/2))</f>
        <v>1.4118725116718231</v>
      </c>
      <c r="O49" s="93" t="s">
        <v>97</v>
      </c>
      <c r="P49" s="79">
        <v>11.214456675699235</v>
      </c>
      <c r="Q49" s="79">
        <v>14.577882796274524</v>
      </c>
      <c r="R49" s="79">
        <v>17.279246349385204</v>
      </c>
      <c r="S49" s="79">
        <v>18.352564263002584</v>
      </c>
      <c r="T49" s="79">
        <v>17.458227826032015</v>
      </c>
      <c r="U49" s="79">
        <v>17.984924834066856</v>
      </c>
      <c r="V49" s="79">
        <v>16.681628106470271</v>
      </c>
      <c r="W49" s="79">
        <v>16.291413744925975</v>
      </c>
      <c r="X49" s="79">
        <v>13.557334427944353</v>
      </c>
      <c r="Y49" s="79">
        <v>9.8973437783915372</v>
      </c>
      <c r="Z49" s="79">
        <v>8.6126323518879655</v>
      </c>
      <c r="AA49" s="79">
        <v>8.9185217731879938</v>
      </c>
    </row>
    <row r="50" spans="1:27" x14ac:dyDescent="0.25">
      <c r="A50" s="87" t="str">
        <f>"HTSky at Beta = " &amp; HTBar!B28</f>
        <v>HTSky at Beta = 51</v>
      </c>
      <c r="B50" s="88">
        <f>(HTBar!$E$11*((1+COS(HTBar!$B28*PI()/180))/2))</f>
        <v>1.5696674851266772</v>
      </c>
      <c r="C50" s="88">
        <f>(HTBar!$F$11*((1+COS(HTBar!$B28*PI()/180))/2))</f>
        <v>2.4017143239864267</v>
      </c>
      <c r="D50" s="88">
        <f>(HTBar!$G$11*((1+COS(HTBar!$B28*PI()/180))/2))</f>
        <v>3.9763199964385243</v>
      </c>
      <c r="E50" s="88">
        <f>(HTBar!$H$11*((1+COS(HTBar!$B28*PI()/180))/2))</f>
        <v>5.5491214299157772</v>
      </c>
      <c r="F50" s="88">
        <f>(HTBar!$I$11*((1+COS(HTBar!$B28*PI()/180))/2))</f>
        <v>6.7943684346375743</v>
      </c>
      <c r="G50" s="88">
        <f>(HTBar!$J$11*((1+COS(HTBar!$B28*PI()/180))/2))</f>
        <v>7.3112016917515961</v>
      </c>
      <c r="H50" s="88">
        <f>(HTBar!$K$11*((1+COS(HTBar!$B28*PI()/180))/2))</f>
        <v>7.0508815677665249</v>
      </c>
      <c r="I50" s="88">
        <f>(HTBar!$L$11*((1+COS(HTBar!$B28*PI()/180))/2))</f>
        <v>6.0721522028053769</v>
      </c>
      <c r="J50" s="88">
        <f>(HTBar!$M$11*((1+COS(HTBar!$B28*PI()/180))/2))</f>
        <v>4.6287789166479536</v>
      </c>
      <c r="K50" s="88">
        <f>(HTBar!$N$11*((1+COS(HTBar!$B28*PI()/180))/2))</f>
        <v>2.89408013919215</v>
      </c>
      <c r="L50" s="88">
        <f>(HTBar!$O$11*((1+COS(HTBar!$B28*PI()/180))/2))</f>
        <v>1.832627382931576</v>
      </c>
      <c r="M50" s="88">
        <f>(HTBar!$P$11*((1+COS(HTBar!$B28*PI()/180))/2))</f>
        <v>1.3781981254587776</v>
      </c>
      <c r="O50" s="93" t="s">
        <v>98</v>
      </c>
      <c r="P50" s="79">
        <v>12.753430332134608</v>
      </c>
      <c r="Q50" s="79">
        <v>15.863252300779859</v>
      </c>
      <c r="R50" s="79">
        <v>17.703008718875871</v>
      </c>
      <c r="S50" s="79">
        <v>17.582865514581762</v>
      </c>
      <c r="T50" s="79">
        <v>15.798718388162253</v>
      </c>
      <c r="U50" s="79">
        <v>16.01961742652955</v>
      </c>
      <c r="V50" s="79">
        <v>14.98089807943184</v>
      </c>
      <c r="W50" s="79">
        <v>15.075526455244679</v>
      </c>
      <c r="X50" s="79">
        <v>13.211187740642028</v>
      </c>
      <c r="Y50" s="79">
        <v>10.241985955253449</v>
      </c>
      <c r="Z50" s="79">
        <v>9.5021124704254643</v>
      </c>
      <c r="AA50" s="79">
        <v>10.198219422775171</v>
      </c>
    </row>
    <row r="51" spans="1:27" x14ac:dyDescent="0.25">
      <c r="A51" s="87" t="str">
        <f>"HTSky at Beta = " &amp; HTBar!B29</f>
        <v>HTSky at Beta = 54</v>
      </c>
      <c r="B51" s="88">
        <f>(HTBar!$E$11*((1+COS(HTBar!$B29*PI()/180))/2))</f>
        <v>1.5296530366757799</v>
      </c>
      <c r="C51" s="88">
        <f>(HTBar!$F$11*((1+COS(HTBar!$B29*PI()/180))/2))</f>
        <v>2.3404890804736707</v>
      </c>
      <c r="D51" s="88">
        <f>(HTBar!$G$11*((1+COS(HTBar!$B29*PI()/180))/2))</f>
        <v>3.8749544186780081</v>
      </c>
      <c r="E51" s="88">
        <f>(HTBar!$H$11*((1+COS(HTBar!$B29*PI()/180))/2))</f>
        <v>5.407661512124835</v>
      </c>
      <c r="F51" s="88">
        <f>(HTBar!$I$11*((1+COS(HTBar!$B29*PI()/180))/2))</f>
        <v>6.6211642955059871</v>
      </c>
      <c r="G51" s="88">
        <f>(HTBar!$J$11*((1+COS(HTBar!$B29*PI()/180))/2))</f>
        <v>7.1248222795634808</v>
      </c>
      <c r="H51" s="88">
        <f>(HTBar!$K$11*((1+COS(HTBar!$B29*PI()/180))/2))</f>
        <v>6.8711383166001756</v>
      </c>
      <c r="I51" s="88">
        <f>(HTBar!$L$11*((1+COS(HTBar!$B29*PI()/180))/2))</f>
        <v>5.9173590229711461</v>
      </c>
      <c r="J51" s="88">
        <f>(HTBar!$M$11*((1+COS(HTBar!$B29*PI()/180))/2))</f>
        <v>4.5107806545282143</v>
      </c>
      <c r="K51" s="88">
        <f>(HTBar!$N$11*((1+COS(HTBar!$B29*PI()/180))/2))</f>
        <v>2.8203033542107598</v>
      </c>
      <c r="L51" s="88">
        <f>(HTBar!$O$11*((1+COS(HTBar!$B29*PI()/180))/2))</f>
        <v>1.7859094795291872</v>
      </c>
      <c r="M51" s="88">
        <f>(HTBar!$P$11*((1+COS(HTBar!$B29*PI()/180))/2))</f>
        <v>1.3430646730754894</v>
      </c>
      <c r="O51" s="93" t="s">
        <v>99</v>
      </c>
      <c r="P51" s="79">
        <v>12.973871591752584</v>
      </c>
      <c r="Q51" s="79">
        <v>16.014087807978544</v>
      </c>
      <c r="R51" s="79">
        <v>17.678544757388519</v>
      </c>
      <c r="S51" s="79">
        <v>17.329323797042413</v>
      </c>
      <c r="T51" s="79">
        <v>15.382469299956234</v>
      </c>
      <c r="U51" s="79">
        <v>15.548081910592217</v>
      </c>
      <c r="V51" s="79">
        <v>14.566150419979445</v>
      </c>
      <c r="W51" s="79">
        <v>14.746119352216654</v>
      </c>
      <c r="X51" s="79">
        <v>13.060435904893783</v>
      </c>
      <c r="Y51" s="79">
        <v>10.244353522667318</v>
      </c>
      <c r="Z51" s="79">
        <v>9.616863284620262</v>
      </c>
      <c r="AA51" s="79">
        <v>10.384352962324808</v>
      </c>
    </row>
    <row r="52" spans="1:27" x14ac:dyDescent="0.25">
      <c r="A52" s="91" t="str">
        <f>"HTSky at Beta = " &amp; HTBar!B30</f>
        <v>HTSky at Beta = 57</v>
      </c>
      <c r="B52" s="88">
        <f>(HTBar!$E$11*((1+COS(HTBar!$B30*PI()/180))/2))</f>
        <v>1.4880864947367942</v>
      </c>
      <c r="C52" s="88">
        <f>(HTBar!$F$11*((1+COS(HTBar!$B30*PI()/180))/2))</f>
        <v>2.2768890122303076</v>
      </c>
      <c r="D52" s="88">
        <f>(HTBar!$G$11*((1+COS(HTBar!$B30*PI()/180))/2))</f>
        <v>3.7696570397994167</v>
      </c>
      <c r="E52" s="88">
        <f>(HTBar!$H$11*((1+COS(HTBar!$B30*PI()/180))/2))</f>
        <v>5.2607146008670638</v>
      </c>
      <c r="F52" s="88">
        <f>(HTBar!$I$11*((1+COS(HTBar!$B30*PI()/180))/2))</f>
        <v>6.4412418576882144</v>
      </c>
      <c r="G52" s="88">
        <f>(HTBar!$J$11*((1+COS(HTBar!$B30*PI()/180))/2))</f>
        <v>6.9312135218971713</v>
      </c>
      <c r="H52" s="88">
        <f>(HTBar!$K$11*((1+COS(HTBar!$B30*PI()/180))/2))</f>
        <v>6.6844231255355302</v>
      </c>
      <c r="I52" s="88">
        <f>(HTBar!$L$11*((1+COS(HTBar!$B30*PI()/180))/2))</f>
        <v>5.7565616747496877</v>
      </c>
      <c r="J52" s="88">
        <f>(HTBar!$M$11*((1+COS(HTBar!$B30*PI()/180))/2))</f>
        <v>4.3882054373002086</v>
      </c>
      <c r="K52" s="88">
        <f>(HTBar!$N$11*((1+COS(HTBar!$B30*PI()/180))/2))</f>
        <v>2.7436648912111852</v>
      </c>
      <c r="L52" s="88">
        <f>(HTBar!$O$11*((1+COS(HTBar!$B30*PI()/180))/2))</f>
        <v>1.7373794668399001</v>
      </c>
      <c r="M52" s="88">
        <f>(HTBar!$P$11*((1+COS(HTBar!$B30*PI()/180))/2))</f>
        <v>1.3065684528728454</v>
      </c>
      <c r="O52" s="93" t="s">
        <v>100</v>
      </c>
      <c r="P52" s="79">
        <v>13.543690638195008</v>
      </c>
      <c r="Q52" s="79">
        <v>16.248736961182967</v>
      </c>
      <c r="R52" s="79">
        <v>17.218031202598592</v>
      </c>
      <c r="S52" s="79">
        <v>16.005773654455236</v>
      </c>
      <c r="T52" s="79">
        <v>13.47452248748132</v>
      </c>
      <c r="U52" s="79">
        <v>13.444143234288568</v>
      </c>
      <c r="V52" s="79">
        <v>12.696766199410717</v>
      </c>
      <c r="W52" s="79">
        <v>13.170870019629923</v>
      </c>
      <c r="X52" s="79">
        <v>12.198821437106877</v>
      </c>
      <c r="Y52" s="79">
        <v>10.031230271414021</v>
      </c>
      <c r="Z52" s="79">
        <v>9.8544369404343719</v>
      </c>
      <c r="AA52" s="79">
        <v>10.878695030544874</v>
      </c>
    </row>
    <row r="53" spans="1:27" x14ac:dyDescent="0.25">
      <c r="A53" s="91" t="str">
        <f>"HTSky at Beta = " &amp; HTBar!B31</f>
        <v>HTSky at Beta = 60</v>
      </c>
      <c r="B53" s="88">
        <f>(HTBar!$E$11*((1+COS(HTBar!$B31*PI()/180))/2))</f>
        <v>1.4450817903119195</v>
      </c>
      <c r="C53" s="88">
        <f>(HTBar!$F$11*((1+COS(HTBar!$B31*PI()/180))/2))</f>
        <v>2.2110884426226058</v>
      </c>
      <c r="D53" s="88">
        <f>(HTBar!$G$11*((1+COS(HTBar!$B31*PI()/180))/2))</f>
        <v>3.6607164725991241</v>
      </c>
      <c r="E53" s="88">
        <f>(HTBar!$H$11*((1+COS(HTBar!$B31*PI()/180))/2))</f>
        <v>5.1086834674120647</v>
      </c>
      <c r="F53" s="88">
        <f>(HTBar!$I$11*((1+COS(HTBar!$B31*PI()/180))/2))</f>
        <v>6.2550942760800581</v>
      </c>
      <c r="G53" s="88">
        <f>(HTBar!$J$11*((1+COS(HTBar!$B31*PI()/180))/2))</f>
        <v>6.73090608689985</v>
      </c>
      <c r="H53" s="88">
        <f>(HTBar!$K$11*((1+COS(HTBar!$B31*PI()/180))/2))</f>
        <v>6.4912477679328813</v>
      </c>
      <c r="I53" s="88">
        <f>(HTBar!$L$11*((1+COS(HTBar!$B31*PI()/180))/2))</f>
        <v>5.5902008924955897</v>
      </c>
      <c r="J53" s="88">
        <f>(HTBar!$M$11*((1+COS(HTBar!$B31*PI()/180))/2))</f>
        <v>4.2613892351142582</v>
      </c>
      <c r="K53" s="88">
        <f>(HTBar!$N$11*((1+COS(HTBar!$B31*PI()/180))/2))</f>
        <v>2.6643748108934329</v>
      </c>
      <c r="L53" s="88">
        <f>(HTBar!$O$11*((1+COS(HTBar!$B31*PI()/180))/2))</f>
        <v>1.6871703622552157</v>
      </c>
      <c r="M53" s="88">
        <f>(HTBar!$P$11*((1+COS(HTBar!$B31*PI()/180))/2))</f>
        <v>1.2688094984535991</v>
      </c>
      <c r="O53" s="93" t="s">
        <v>101</v>
      </c>
      <c r="P53" s="79">
        <v>13.606206072955613</v>
      </c>
      <c r="Q53" s="79">
        <v>16.214421863654671</v>
      </c>
      <c r="R53" s="79">
        <v>17.013816614301703</v>
      </c>
      <c r="S53" s="79">
        <v>15.602226449168588</v>
      </c>
      <c r="T53" s="79">
        <v>12.943846659179453</v>
      </c>
      <c r="U53" s="79">
        <v>12.87171040456986</v>
      </c>
      <c r="V53" s="79">
        <v>12.183815095358185</v>
      </c>
      <c r="W53" s="79">
        <v>12.718296900103626</v>
      </c>
      <c r="X53" s="79">
        <v>11.921724837916042</v>
      </c>
      <c r="Y53" s="79">
        <v>9.9230314738116316</v>
      </c>
      <c r="Z53" s="79">
        <v>9.8576587646417018</v>
      </c>
      <c r="AA53" s="79">
        <v>10.938038363678109</v>
      </c>
    </row>
    <row r="54" spans="1:27" x14ac:dyDescent="0.25">
      <c r="A54" s="91" t="str">
        <f>"HTSky at Beta = " &amp; HTBar!B32</f>
        <v>HTSky at Beta = 63</v>
      </c>
      <c r="B54" s="88">
        <f>(HTBar!$E$11*((1+COS(HTBar!$B32*PI()/180))/2))</f>
        <v>1.4007567963067644</v>
      </c>
      <c r="C54" s="88">
        <f>(HTBar!$F$11*((1+COS(HTBar!$B32*PI()/180))/2))</f>
        <v>2.1432677264381192</v>
      </c>
      <c r="D54" s="88">
        <f>(HTBar!$G$11*((1+COS(HTBar!$B32*PI()/180))/2))</f>
        <v>3.5484313155994607</v>
      </c>
      <c r="E54" s="88">
        <f>(HTBar!$H$11*((1+COS(HTBar!$B32*PI()/180))/2))</f>
        <v>4.9519848185290858</v>
      </c>
      <c r="F54" s="88">
        <f>(HTBar!$I$11*((1+COS(HTBar!$B32*PI()/180))/2))</f>
        <v>6.0632317682637487</v>
      </c>
      <c r="G54" s="88">
        <f>(HTBar!$J$11*((1+COS(HTBar!$B32*PI()/180))/2))</f>
        <v>6.5244490033276463</v>
      </c>
      <c r="H54" s="88">
        <f>(HTBar!$K$11*((1+COS(HTBar!$B32*PI()/180))/2))</f>
        <v>6.2921417240199657</v>
      </c>
      <c r="I54" s="88">
        <f>(HTBar!$L$11*((1+COS(HTBar!$B32*PI()/180))/2))</f>
        <v>5.4187326595494154</v>
      </c>
      <c r="J54" s="88">
        <f>(HTBar!$M$11*((1+COS(HTBar!$B32*PI()/180))/2))</f>
        <v>4.1306796423656698</v>
      </c>
      <c r="K54" s="88">
        <f>(HTBar!$N$11*((1+COS(HTBar!$B32*PI()/180))/2))</f>
        <v>2.5826504418562686</v>
      </c>
      <c r="L54" s="88">
        <f>(HTBar!$O$11*((1+COS(HTBar!$B32*PI()/180))/2))</f>
        <v>1.6354197854408088</v>
      </c>
      <c r="M54" s="88">
        <f>(HTBar!$P$11*((1+COS(HTBar!$B32*PI()/180))/2))</f>
        <v>1.2298913044872215</v>
      </c>
      <c r="O54" s="93" t="s">
        <v>102</v>
      </c>
      <c r="P54" s="79">
        <v>13.63627081425461</v>
      </c>
      <c r="Q54" s="79">
        <v>16.142950814075675</v>
      </c>
      <c r="R54" s="79">
        <v>16.774941482679914</v>
      </c>
      <c r="S54" s="79">
        <v>15.171805614095826</v>
      </c>
      <c r="T54" s="79">
        <v>12.39484341399962</v>
      </c>
      <c r="U54" s="79">
        <v>12.284267666482441</v>
      </c>
      <c r="V54" s="79">
        <v>11.65573577463396</v>
      </c>
      <c r="W54" s="79">
        <v>12.244762518974728</v>
      </c>
      <c r="X54" s="79">
        <v>11.621373952437528</v>
      </c>
      <c r="Y54" s="79">
        <v>9.793368774061868</v>
      </c>
      <c r="Z54" s="79">
        <v>9.8383016297925145</v>
      </c>
      <c r="AA54" s="79">
        <v>10.971253159198294</v>
      </c>
    </row>
    <row r="55" spans="1:27" x14ac:dyDescent="0.25">
      <c r="A55" s="87" t="str">
        <f>"HTSky at Beta = " &amp; HTBar!B33</f>
        <v>HTSky at Beta = 66</v>
      </c>
      <c r="B55" s="88">
        <f>(HTBar!$E$11*((1+COS(HTBar!$B33*PI()/180))/2))</f>
        <v>1.3552330044489047</v>
      </c>
      <c r="C55" s="88">
        <f>(HTBar!$F$11*((1+COS(HTBar!$B33*PI()/180))/2))</f>
        <v>2.0736127555457489</v>
      </c>
      <c r="D55" s="88">
        <f>(HTBar!$G$11*((1+COS(HTBar!$B33*PI()/180))/2))</f>
        <v>3.4331093346109172</v>
      </c>
      <c r="E55" s="88">
        <f>(HTBar!$H$11*((1+COS(HTBar!$B33*PI()/180))/2))</f>
        <v>4.7910481543227244</v>
      </c>
      <c r="F55" s="88">
        <f>(HTBar!$I$11*((1+COS(HTBar!$B33*PI()/180))/2))</f>
        <v>5.8661802160370096</v>
      </c>
      <c r="G55" s="88">
        <f>(HTBar!$J$11*((1+COS(HTBar!$B33*PI()/180))/2))</f>
        <v>6.3124081556959766</v>
      </c>
      <c r="H55" s="88">
        <f>(HTBar!$K$11*((1+COS(HTBar!$B33*PI()/180))/2))</f>
        <v>6.087650729623455</v>
      </c>
      <c r="I55" s="88">
        <f>(HTBar!$L$11*((1+COS(HTBar!$B33*PI()/180))/2))</f>
        <v>5.2426269584190583</v>
      </c>
      <c r="J55" s="88">
        <f>(HTBar!$M$11*((1+COS(HTBar!$B33*PI()/180))/2))</f>
        <v>3.9964349249626556</v>
      </c>
      <c r="K55" s="88">
        <f>(HTBar!$N$11*((1+COS(HTBar!$B33*PI()/180))/2))</f>
        <v>2.4987157849146318</v>
      </c>
      <c r="L55" s="88">
        <f>(HTBar!$O$11*((1+COS(HTBar!$B33*PI()/180))/2))</f>
        <v>1.5822695811305891</v>
      </c>
      <c r="M55" s="88">
        <f>(HTBar!$P$11*((1+COS(HTBar!$B33*PI()/180))/2))</f>
        <v>1.1899205430382038</v>
      </c>
      <c r="O55" s="93" t="s">
        <v>103</v>
      </c>
      <c r="P55" s="79">
        <v>13.633802456725867</v>
      </c>
      <c r="Q55" s="79">
        <v>16.034519709624988</v>
      </c>
      <c r="R55" s="79">
        <v>16.502060547864993</v>
      </c>
      <c r="S55" s="79">
        <v>14.715760453894587</v>
      </c>
      <c r="T55" s="79">
        <v>11.829255640620961</v>
      </c>
      <c r="U55" s="79">
        <v>11.683796994361398</v>
      </c>
      <c r="V55" s="79">
        <v>11.114250726241984</v>
      </c>
      <c r="W55" s="79">
        <v>11.751678991314597</v>
      </c>
      <c r="X55" s="79">
        <v>11.298594773129741</v>
      </c>
      <c r="Y55" s="79">
        <v>9.6425975686120058</v>
      </c>
      <c r="Z55" s="79">
        <v>9.7964185924479281</v>
      </c>
      <c r="AA55" s="79">
        <v>10.978248377659636</v>
      </c>
    </row>
    <row r="56" spans="1:27" x14ac:dyDescent="0.25">
      <c r="A56" s="87" t="str">
        <f>"HTSky at Beta = " &amp; HTBar!B34</f>
        <v>HTSky at Beta = 69</v>
      </c>
      <c r="B56" s="88">
        <f>(HTBar!$E$11*((1+COS(HTBar!$B34*PI()/180))/2))</f>
        <v>1.3086351922875026</v>
      </c>
      <c r="C56" s="88">
        <f>(HTBar!$F$11*((1+COS(HTBar!$B34*PI()/180))/2))</f>
        <v>2.0023144493790541</v>
      </c>
      <c r="D56" s="88">
        <f>(HTBar!$G$11*((1+COS(HTBar!$B34*PI()/180))/2))</f>
        <v>3.3150666191674514</v>
      </c>
      <c r="E56" s="88">
        <f>(HTBar!$H$11*((1+COS(HTBar!$B34*PI()/180))/2))</f>
        <v>4.6263145910030019</v>
      </c>
      <c r="F56" s="88">
        <f>(HTBar!$I$11*((1+COS(HTBar!$B34*PI()/180))/2))</f>
        <v>5.6644797240076095</v>
      </c>
      <c r="G56" s="88">
        <f>(HTBar!$J$11*((1+COS(HTBar!$B34*PI()/180))/2))</f>
        <v>6.0953647332294203</v>
      </c>
      <c r="H56" s="88">
        <f>(HTBar!$K$11*((1+COS(HTBar!$B34*PI()/180))/2))</f>
        <v>5.8783352803449977</v>
      </c>
      <c r="I56" s="88">
        <f>(HTBar!$L$11*((1+COS(HTBar!$B34*PI()/180))/2))</f>
        <v>5.0623664825903623</v>
      </c>
      <c r="J56" s="88">
        <f>(HTBar!$M$11*((1+COS(HTBar!$B34*PI()/180))/2))</f>
        <v>3.8590230383443807</v>
      </c>
      <c r="K56" s="88">
        <f>(HTBar!$N$11*((1+COS(HTBar!$B34*PI()/180))/2))</f>
        <v>2.4128008991289733</v>
      </c>
      <c r="L56" s="88">
        <f>(HTBar!$O$11*((1+COS(HTBar!$B34*PI()/180))/2))</f>
        <v>1.527865430340146</v>
      </c>
      <c r="M56" s="88">
        <f>(HTBar!$P$11*((1+COS(HTBar!$B34*PI()/180))/2))</f>
        <v>1.1490067711853444</v>
      </c>
    </row>
    <row r="57" spans="1:27" x14ac:dyDescent="0.25">
      <c r="A57" s="87" t="str">
        <f>"HTSky at Beta = " &amp; HTBar!B35</f>
        <v>HTSky at Beta = 72</v>
      </c>
      <c r="B57" s="88">
        <f>(HTBar!$E$11*((1+COS(HTBar!$B35*PI()/180))/2))</f>
        <v>1.261091081186718</v>
      </c>
      <c r="C57" s="88">
        <f>(HTBar!$F$11*((1+COS(HTBar!$B35*PI()/180))/2))</f>
        <v>1.9295682316393512</v>
      </c>
      <c r="D57" s="88">
        <f>(HTBar!$G$11*((1+COS(HTBar!$B35*PI()/180))/2))</f>
        <v>3.1946267161470434</v>
      </c>
      <c r="E57" s="88">
        <f>(HTBar!$H$11*((1+COS(HTBar!$B35*PI()/180))/2))</f>
        <v>4.4582356518164836</v>
      </c>
      <c r="F57" s="88">
        <f>(HTBar!$I$11*((1+COS(HTBar!$B35*PI()/180))/2))</f>
        <v>5.4586831392041706</v>
      </c>
      <c r="G57" s="88">
        <f>(HTBar!$J$11*((1+COS(HTBar!$B35*PI()/180))/2))</f>
        <v>5.8739136368624534</v>
      </c>
      <c r="H57" s="88">
        <f>(HTBar!$K$11*((1+COS(HTBar!$B35*PI()/180))/2))</f>
        <v>5.6647690952817245</v>
      </c>
      <c r="I57" s="88">
        <f>(HTBar!$L$11*((1+COS(HTBar!$B35*PI()/180))/2))</f>
        <v>4.8784453134978172</v>
      </c>
      <c r="J57" s="88">
        <f>(HTBar!$M$11*((1+COS(HTBar!$B35*PI()/180))/2))</f>
        <v>3.7188206189406818</v>
      </c>
      <c r="K57" s="88">
        <f>(HTBar!$N$11*((1+COS(HTBar!$B35*PI()/180))/2))</f>
        <v>2.3251412712293602</v>
      </c>
      <c r="L57" s="88">
        <f>(HTBar!$O$11*((1+COS(HTBar!$B35*PI()/180))/2))</f>
        <v>1.4723564510652092</v>
      </c>
      <c r="M57" s="88">
        <f>(HTBar!$P$11*((1+COS(HTBar!$B35*PI()/180))/2))</f>
        <v>1.1072621307334098</v>
      </c>
    </row>
    <row r="58" spans="1:27" x14ac:dyDescent="0.25">
      <c r="A58" s="87" t="str">
        <f>"HTSky at Beta = " &amp; HTBar!B36</f>
        <v>HTSky at Beta = 75</v>
      </c>
      <c r="B58" s="88">
        <f>(HTBar!$E$11*((1+COS(HTBar!$B36*PI()/180))/2))</f>
        <v>1.2127309862503277</v>
      </c>
      <c r="C58" s="88">
        <f>(HTBar!$F$11*((1+COS(HTBar!$B36*PI()/180))/2))</f>
        <v>1.855573494652939</v>
      </c>
      <c r="D58" s="88">
        <f>(HTBar!$G$11*((1+COS(HTBar!$B36*PI()/180))/2))</f>
        <v>3.0721197429521983</v>
      </c>
      <c r="E58" s="88">
        <f>(HTBar!$H$11*((1+COS(HTBar!$B36*PI()/180))/2))</f>
        <v>4.2872720294524598</v>
      </c>
      <c r="F58" s="88">
        <f>(HTBar!$I$11*((1+COS(HTBar!$B36*PI()/180))/2))</f>
        <v>5.2493545357608946</v>
      </c>
      <c r="G58" s="88">
        <f>(HTBar!$J$11*((1+COS(HTBar!$B36*PI()/180))/2))</f>
        <v>5.6486618486573423</v>
      </c>
      <c r="H58" s="88">
        <f>(HTBar!$K$11*((1+COS(HTBar!$B36*PI()/180))/2))</f>
        <v>5.4475375445020928</v>
      </c>
      <c r="I58" s="88">
        <f>(HTBar!$L$11*((1+COS(HTBar!$B36*PI()/180))/2))</f>
        <v>4.6913675662817047</v>
      </c>
      <c r="J58" s="88">
        <f>(HTBar!$M$11*((1+COS(HTBar!$B36*PI()/180))/2))</f>
        <v>3.5762119518377946</v>
      </c>
      <c r="K58" s="88">
        <f>(HTBar!$N$11*((1+COS(HTBar!$B36*PI()/180))/2))</f>
        <v>2.23597717016272</v>
      </c>
      <c r="L58" s="88">
        <f>(HTBar!$O$11*((1+COS(HTBar!$B36*PI()/180))/2))</f>
        <v>1.4158947895595897</v>
      </c>
      <c r="M58" s="88">
        <f>(HTBar!$P$11*((1+COS(HTBar!$B36*PI()/180))/2))</f>
        <v>1.0648010408402453</v>
      </c>
    </row>
    <row r="59" spans="1:27" x14ac:dyDescent="0.25">
      <c r="A59" s="91" t="str">
        <f>"HTSky at Beta = " &amp; HTBar!B37</f>
        <v>HTSky at Beta = 78</v>
      </c>
      <c r="B59" s="88">
        <f>(HTBar!$E$11*((1+COS(HTBar!$B37*PI()/180))/2))</f>
        <v>1.1636874591370836</v>
      </c>
      <c r="C59" s="88">
        <f>(HTBar!$F$11*((1+COS(HTBar!$B37*PI()/180))/2))</f>
        <v>1.7805330528505854</v>
      </c>
      <c r="D59" s="88">
        <f>(HTBar!$G$11*((1+COS(HTBar!$B37*PI()/180))/2))</f>
        <v>2.9478814826810877</v>
      </c>
      <c r="E59" s="88">
        <f>(HTBar!$H$11*((1+COS(HTBar!$B37*PI()/180))/2))</f>
        <v>4.1138923233162945</v>
      </c>
      <c r="F59" s="88">
        <f>(HTBar!$I$11*((1+COS(HTBar!$B37*PI()/180))/2))</f>
        <v>5.0370676688295681</v>
      </c>
      <c r="G59" s="88">
        <f>(HTBar!$J$11*((1+COS(HTBar!$B37*PI()/180))/2))</f>
        <v>5.4202267681084972</v>
      </c>
      <c r="H59" s="88">
        <f>(HTBar!$K$11*((1+COS(HTBar!$B37*PI()/180))/2))</f>
        <v>5.227236044587209</v>
      </c>
      <c r="I59" s="88">
        <f>(HTBar!$L$11*((1+COS(HTBar!$B37*PI()/180))/2))</f>
        <v>4.5016460080435303</v>
      </c>
      <c r="J59" s="88">
        <f>(HTBar!$M$11*((1+COS(HTBar!$B37*PI()/180))/2))</f>
        <v>3.4315879174796415</v>
      </c>
      <c r="K59" s="88">
        <f>(HTBar!$N$11*((1+COS(HTBar!$B37*PI()/180))/2))</f>
        <v>2.1455529885323563</v>
      </c>
      <c r="L59" s="88">
        <f>(HTBar!$O$11*((1+COS(HTBar!$B37*PI()/180))/2))</f>
        <v>1.3586352033128728</v>
      </c>
      <c r="M59" s="88">
        <f>(HTBar!$P$11*((1+COS(HTBar!$B37*PI()/180))/2))</f>
        <v>1.0217398844018135</v>
      </c>
    </row>
    <row r="60" spans="1:27" x14ac:dyDescent="0.25">
      <c r="A60" s="91" t="str">
        <f>"HTSky at Beta = " &amp; HTBar!B38</f>
        <v>HTSky at Beta = 81</v>
      </c>
      <c r="B60" s="88">
        <f>(HTBar!$E$11*((1+COS(HTBar!$B38*PI()/180))/2))</f>
        <v>1.1140949247458292</v>
      </c>
      <c r="C60" s="88">
        <f>(HTBar!$F$11*((1+COS(HTBar!$B38*PI()/180))/2))</f>
        <v>1.7046525868672737</v>
      </c>
      <c r="D60" s="88">
        <f>(HTBar!$G$11*((1+COS(HTBar!$B38*PI()/180))/2))</f>
        <v>2.8222524637694195</v>
      </c>
      <c r="E60" s="88">
        <f>(HTBar!$H$11*((1+COS(HTBar!$B38*PI()/180))/2))</f>
        <v>3.9385717551310289</v>
      </c>
      <c r="F60" s="88">
        <f>(HTBar!$I$11*((1+COS(HTBar!$B38*PI()/180))/2))</f>
        <v>4.8224044019565691</v>
      </c>
      <c r="G60" s="88">
        <f>(HTBar!$J$11*((1+COS(HTBar!$B38*PI()/180))/2))</f>
        <v>5.1892345198933745</v>
      </c>
      <c r="H60" s="88">
        <f>(HTBar!$K$11*((1+COS(HTBar!$B38*PI()/180))/2))</f>
        <v>5.0044684266353698</v>
      </c>
      <c r="I60" s="88">
        <f>(HTBar!$L$11*((1+COS(HTBar!$B38*PI()/180))/2))</f>
        <v>4.3098006523870396</v>
      </c>
      <c r="J60" s="88">
        <f>(HTBar!$M$11*((1+COS(HTBar!$B38*PI()/180))/2))</f>
        <v>3.285344920291704</v>
      </c>
      <c r="K60" s="88">
        <f>(HTBar!$N$11*((1+COS(HTBar!$B38*PI()/180))/2))</f>
        <v>2.054116572734809</v>
      </c>
      <c r="L60" s="88">
        <f>(HTBar!$O$11*((1+COS(HTBar!$B38*PI()/180))/2))</f>
        <v>1.3007346368708954</v>
      </c>
      <c r="M60" s="88">
        <f>(HTBar!$P$11*((1+COS(HTBar!$B38*PI()/180))/2))</f>
        <v>0.97819668905476775</v>
      </c>
    </row>
    <row r="61" spans="1:27" x14ac:dyDescent="0.25">
      <c r="A61" s="91" t="str">
        <f>"HTSky at Beta = " &amp; HTBar!B39</f>
        <v>HTSky at Beta = 84</v>
      </c>
      <c r="B61" s="88">
        <f>(HTBar!$E$11*((1+COS(HTBar!$B39*PI()/180))/2))</f>
        <v>1.0640893127661959</v>
      </c>
      <c r="C61" s="88">
        <f>(HTBar!$F$11*((1+COS(HTBar!$B39*PI()/180))/2))</f>
        <v>1.6281400797858774</v>
      </c>
      <c r="D61" s="88">
        <f>(HTBar!$G$11*((1+COS(HTBar!$B39*PI()/180))/2))</f>
        <v>2.6955770266256636</v>
      </c>
      <c r="E61" s="88">
        <f>(HTBar!$H$11*((1+COS(HTBar!$B39*PI()/180))/2))</f>
        <v>3.7617908663876771</v>
      </c>
      <c r="F61" s="88">
        <f>(HTBar!$I$11*((1+COS(HTBar!$B39*PI()/180))/2))</f>
        <v>4.6059531122353352</v>
      </c>
      <c r="G61" s="88">
        <f>(HTBar!$J$11*((1+COS(HTBar!$B39*PI()/180))/2))</f>
        <v>4.9563182377082571</v>
      </c>
      <c r="H61" s="88">
        <f>(HTBar!$K$11*((1+COS(HTBar!$B39*PI()/180))/2))</f>
        <v>4.779845281202995</v>
      </c>
      <c r="I61" s="88">
        <f>(HTBar!$L$11*((1+COS(HTBar!$B39*PI()/180))/2))</f>
        <v>4.1163573340970796</v>
      </c>
      <c r="J61" s="88">
        <f>(HTBar!$M$11*((1+COS(HTBar!$B39*PI()/180))/2))</f>
        <v>3.1378838021640485</v>
      </c>
      <c r="K61" s="88">
        <f>(HTBar!$N$11*((1+COS(HTBar!$B39*PI()/180))/2))</f>
        <v>1.9619185436301121</v>
      </c>
      <c r="L61" s="88">
        <f>(HTBar!$O$11*((1+COS(HTBar!$B39*PI()/180))/2))</f>
        <v>1.2423517916616558</v>
      </c>
      <c r="M61" s="88">
        <f>(HTBar!$P$11*((1+COS(HTBar!$B39*PI()/180))/2))</f>
        <v>0.934290803670904</v>
      </c>
    </row>
    <row r="62" spans="1:27" x14ac:dyDescent="0.25">
      <c r="A62" s="91" t="str">
        <f>"HTSky at Beta = " &amp; HTBar!B40</f>
        <v>HTSky at Beta = 87</v>
      </c>
      <c r="B62" s="88">
        <f>(HTBar!$E$11*((1+COS(HTBar!$B40*PI()/180))/2))</f>
        <v>1.0138076851047728</v>
      </c>
      <c r="C62" s="88">
        <f>(HTBar!$F$11*((1+COS(HTBar!$B40*PI()/180))/2))</f>
        <v>1.5512052470699877</v>
      </c>
      <c r="D62" s="88">
        <f>(HTBar!$G$11*((1+COS(HTBar!$B40*PI()/180))/2))</f>
        <v>2.5682023798179308</v>
      </c>
      <c r="E62" s="88">
        <f>(HTBar!$H$11*((1+COS(HTBar!$B40*PI()/180))/2))</f>
        <v>3.5840342012143962</v>
      </c>
      <c r="F62" s="88">
        <f>(HTBar!$I$11*((1+COS(HTBar!$B40*PI()/180))/2))</f>
        <v>4.3883070776056492</v>
      </c>
      <c r="G62" s="88">
        <f>(HTBar!$J$11*((1+COS(HTBar!$B40*PI()/180))/2))</f>
        <v>4.7221163288928034</v>
      </c>
      <c r="H62" s="88">
        <f>(HTBar!$K$11*((1+COS(HTBar!$B40*PI()/180))/2))</f>
        <v>4.5539822847183498</v>
      </c>
      <c r="I62" s="88">
        <f>(HTBar!$L$11*((1+COS(HTBar!$B40*PI()/180))/2))</f>
        <v>3.9218462678630037</v>
      </c>
      <c r="J62" s="88">
        <f>(HTBar!$M$11*((1+COS(HTBar!$B40*PI()/180))/2))</f>
        <v>2.989608743771567</v>
      </c>
      <c r="K62" s="88">
        <f>(HTBar!$N$11*((1+COS(HTBar!$B40*PI()/180))/2))</f>
        <v>1.8692116096074356</v>
      </c>
      <c r="L62" s="88">
        <f>(HTBar!$O$11*((1+COS(HTBar!$B40*PI()/180))/2))</f>
        <v>1.1836466910057311</v>
      </c>
      <c r="M62" s="88">
        <f>(HTBar!$P$11*((1+COS(HTBar!$B40*PI()/180))/2))</f>
        <v>0.89014257123019891</v>
      </c>
    </row>
    <row r="63" spans="1:27" x14ac:dyDescent="0.25">
      <c r="A63" s="91" t="str">
        <f>"HTSky at Beta = " &amp; HTBar!B41</f>
        <v>HTSky at Beta = 90</v>
      </c>
      <c r="B63" s="88">
        <f>(HTBar!$E$11*((1+COS(HTBar!$B41*PI()/180))/2))</f>
        <v>0.96338786020794631</v>
      </c>
      <c r="C63" s="88">
        <f>(HTBar!$F$11*((1+COS(HTBar!$B41*PI()/180))/2))</f>
        <v>1.4740589617484039</v>
      </c>
      <c r="D63" s="88">
        <f>(HTBar!$G$11*((1+COS(HTBar!$B41*PI()/180))/2))</f>
        <v>2.4404776483994159</v>
      </c>
      <c r="E63" s="88">
        <f>(HTBar!$H$11*((1+COS(HTBar!$B41*PI()/180))/2))</f>
        <v>3.4057889782747099</v>
      </c>
      <c r="F63" s="88">
        <f>(HTBar!$I$11*((1+COS(HTBar!$B41*PI()/180))/2))</f>
        <v>4.170062850720039</v>
      </c>
      <c r="G63" s="88">
        <f>(HTBar!$J$11*((1+COS(HTBar!$B41*PI()/180))/2))</f>
        <v>4.4872707245998997</v>
      </c>
      <c r="H63" s="88">
        <f>(HTBar!$K$11*((1+COS(HTBar!$B41*PI()/180))/2))</f>
        <v>4.3274985119552545</v>
      </c>
      <c r="I63" s="88">
        <f>(HTBar!$L$11*((1+COS(HTBar!$B41*PI()/180))/2))</f>
        <v>3.72680059499706</v>
      </c>
      <c r="J63" s="88">
        <f>(HTBar!$M$11*((1+COS(HTBar!$B41*PI()/180))/2))</f>
        <v>2.8409261567428388</v>
      </c>
      <c r="K63" s="88">
        <f>(HTBar!$N$11*((1+COS(HTBar!$B41*PI()/180))/2))</f>
        <v>1.7762498739289552</v>
      </c>
      <c r="L63" s="88">
        <f>(HTBar!$O$11*((1+COS(HTBar!$B41*PI()/180))/2))</f>
        <v>1.1247802415034771</v>
      </c>
      <c r="M63" s="88">
        <f>(HTBar!$P$11*((1+COS(HTBar!$B41*PI()/180))/2))</f>
        <v>0.84587299896906609</v>
      </c>
    </row>
    <row r="64" spans="1:27" x14ac:dyDescent="0.25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</row>
    <row r="65" spans="1:13" x14ac:dyDescent="0.2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</row>
    <row r="66" spans="1:13" x14ac:dyDescent="0.25">
      <c r="A66" s="87" t="str">
        <f>"HTGround at Beta = " &amp; HTBar!B12</f>
        <v>HTGround at Beta = 3</v>
      </c>
      <c r="B66" s="88">
        <f>(HTBar!$E$3*HTBar!$E$4*((1-COS(HTBar!$B12*PI()/180))/2))</f>
        <v>1.1011962340048336E-3</v>
      </c>
      <c r="C66" s="88">
        <f>(HTBar!$F$3*HTBar!$F$4*((1-COS(HTBar!$B12*PI()/180))/2))</f>
        <v>1.6231790366827523E-3</v>
      </c>
      <c r="D66" s="88">
        <f>(HTBar!$G$3*HTBar!$G$4*((1-COS(HTBar!$B12*PI()/180))/2))</f>
        <v>2.6419829001325642E-3</v>
      </c>
      <c r="E66" s="88">
        <f>(HTBar!$H$3*HTBar!$H$4*((1-COS(HTBar!$B12*PI()/180))/2))</f>
        <v>2.7529905850120842E-3</v>
      </c>
      <c r="F66" s="88">
        <f>(HTBar!$I$3*HTBar!$I$4*((1-COS(HTBar!$B12*PI()/180))/2))</f>
        <v>1.1256179246783278E-3</v>
      </c>
      <c r="G66" s="88">
        <f>(HTBar!$J$3*HTBar!$J$4*((1-COS(HTBar!$B12*PI()/180))/2))</f>
        <v>1.3468932432048367E-3</v>
      </c>
      <c r="H66" s="88">
        <f>(HTBar!$K$3*HTBar!$K$4*((1-COS(HTBar!$B12*PI()/180))/2))</f>
        <v>1.226018208558249E-3</v>
      </c>
      <c r="I66" s="88">
        <f>(HTBar!$L$3*HTBar!$L$4*((1-COS(HTBar!$B12*PI()/180))/2))</f>
        <v>9.9018854912531415E-4</v>
      </c>
      <c r="J66" s="88">
        <f>(HTBar!$M$3*HTBar!$M$4*((1-COS(HTBar!$B12*PI()/180))/2))</f>
        <v>7.9678849369077336E-4</v>
      </c>
      <c r="K66" s="88">
        <f>(HTBar!$N$3*HTBar!$N$4*((1-COS(HTBar!$B12*PI()/180))/2))</f>
        <v>4.3292997103012602E-4</v>
      </c>
      <c r="L66" s="88">
        <f>(HTBar!$O$3*HTBar!$O$4*((1-COS(HTBar!$B12*PI()/180))/2))</f>
        <v>6.7862698023012926E-4</v>
      </c>
      <c r="M66" s="88">
        <f>(HTBar!$P$3*HTBar!$P$4*((1-COS(HTBar!$B12*PI()/180))/2))</f>
        <v>7.6669307690121493E-4</v>
      </c>
    </row>
    <row r="67" spans="1:13" x14ac:dyDescent="0.25">
      <c r="A67" s="92" t="str">
        <f>"HTGround at Beta = " &amp; HTBar!B13</f>
        <v>HTGround at Beta = 6</v>
      </c>
      <c r="B67" s="88">
        <f>(HTBar!$E$3*HTBar!$E$4*((1-COS(HTBar!$B13*PI()/180))/2))</f>
        <v>4.4017666336850459E-3</v>
      </c>
      <c r="C67" s="88">
        <f>(HTBar!$F$3*HTBar!$F$4*((1-COS(HTBar!$B13*PI()/180))/2))</f>
        <v>6.488267125817117E-3</v>
      </c>
      <c r="D67" s="88">
        <f>(HTBar!$G$3*HTBar!$G$4*((1-COS(HTBar!$B13*PI()/180))/2))</f>
        <v>1.0560690109042752E-2</v>
      </c>
      <c r="E67" s="88">
        <f>(HTBar!$H$3*HTBar!$H$4*((1-COS(HTBar!$B13*PI()/180))/2))</f>
        <v>1.1004416584212617E-2</v>
      </c>
      <c r="F67" s="88">
        <f>(HTBar!$I$3*HTBar!$I$4*((1-COS(HTBar!$B13*PI()/180))/2))</f>
        <v>4.4993864582224168E-3</v>
      </c>
      <c r="G67" s="88">
        <f>(HTBar!$J$3*HTBar!$J$4*((1-COS(HTBar!$B13*PI()/180))/2))</f>
        <v>5.3838812320610111E-3</v>
      </c>
      <c r="H67" s="88">
        <f>(HTBar!$K$3*HTBar!$K$4*((1-COS(HTBar!$B13*PI()/180))/2))</f>
        <v>4.9007124035427155E-3</v>
      </c>
      <c r="I67" s="88">
        <f>(HTBar!$L$3*HTBar!$L$4*((1-COS(HTBar!$B13*PI()/180))/2))</f>
        <v>3.9580401585151831E-3</v>
      </c>
      <c r="J67" s="88">
        <f>(HTBar!$M$3*HTBar!$M$4*((1-COS(HTBar!$B13*PI()/180))/2))</f>
        <v>3.1849700328859093E-3</v>
      </c>
      <c r="K67" s="88">
        <f>(HTBar!$N$3*HTBar!$N$4*((1-COS(HTBar!$B13*PI()/180))/2))</f>
        <v>1.7305332531624676E-3</v>
      </c>
      <c r="L67" s="88">
        <f>(HTBar!$O$3*HTBar!$O$4*((1-COS(HTBar!$B13*PI()/180))/2))</f>
        <v>2.7126478515384325E-3</v>
      </c>
      <c r="M67" s="88">
        <f>(HTBar!$P$3*HTBar!$P$4*((1-COS(HTBar!$B13*PI()/180))/2))</f>
        <v>3.0646708551731916E-3</v>
      </c>
    </row>
    <row r="68" spans="1:13" x14ac:dyDescent="0.25">
      <c r="A68" s="87" t="str">
        <f>"HTGround at Beta = " &amp; HTBar!B14</f>
        <v>HTGround at Beta = 9</v>
      </c>
      <c r="B68" s="88">
        <f>(HTBar!$E$3*HTBar!$E$4*((1-COS(HTBar!$B14*PI()/180))/2))</f>
        <v>9.8926645649948988E-3</v>
      </c>
      <c r="C68" s="88">
        <f>(HTBar!$F$3*HTBar!$F$4*((1-COS(HTBar!$B14*PI()/180))/2))</f>
        <v>1.4581929399118829E-2</v>
      </c>
      <c r="D68" s="88">
        <f>(HTBar!$G$3*HTBar!$G$4*((1-COS(HTBar!$B14*PI()/180))/2))</f>
        <v>2.3734417000693404E-2</v>
      </c>
      <c r="E68" s="88">
        <f>(HTBar!$H$3*HTBar!$H$4*((1-COS(HTBar!$B14*PI()/180))/2))</f>
        <v>2.4731661412487251E-2</v>
      </c>
      <c r="F68" s="88">
        <f>(HTBar!$I$3*HTBar!$I$4*((1-COS(HTBar!$B14*PI()/180))/2))</f>
        <v>1.0112058335589544E-2</v>
      </c>
      <c r="G68" s="88">
        <f>(HTBar!$J$3*HTBar!$J$4*((1-COS(HTBar!$B14*PI()/180))/2))</f>
        <v>1.2099898863098599E-2</v>
      </c>
      <c r="H68" s="88">
        <f>(HTBar!$K$3*HTBar!$K$4*((1-COS(HTBar!$B14*PI()/180))/2))</f>
        <v>1.1014010503589751E-2</v>
      </c>
      <c r="I68" s="88">
        <f>(HTBar!$L$3*HTBar!$L$4*((1-COS(HTBar!$B14*PI()/180))/2))</f>
        <v>8.8954201532010588E-3</v>
      </c>
      <c r="J68" s="88">
        <f>(HTBar!$M$3*HTBar!$M$4*((1-COS(HTBar!$B14*PI()/180))/2))</f>
        <v>7.1579987779869011E-3</v>
      </c>
      <c r="K68" s="88">
        <f>(HTBar!$N$3*HTBar!$N$4*((1-COS(HTBar!$B14*PI()/180))/2))</f>
        <v>3.8892532059959777E-3</v>
      </c>
      <c r="L68" s="88">
        <f>(HTBar!$O$3*HTBar!$O$4*((1-COS(HTBar!$B14*PI()/180))/2))</f>
        <v>6.0964875040996789E-3</v>
      </c>
      <c r="M68" s="88">
        <f>(HTBar!$P$3*HTBar!$P$4*((1-COS(HTBar!$B14*PI()/180))/2))</f>
        <v>6.8876347374561275E-3</v>
      </c>
    </row>
    <row r="69" spans="1:13" x14ac:dyDescent="0.25">
      <c r="A69" s="87" t="str">
        <f>"HTGround at Beta = " &amp; HTBar!B15</f>
        <v>HTGround at Beta = 12</v>
      </c>
      <c r="B69" s="88">
        <f>(HTBar!$E$3*HTBar!$E$4*((1-COS(HTBar!$B15*PI()/180))/2))</f>
        <v>1.7558839858372453E-2</v>
      </c>
      <c r="C69" s="88">
        <f>(HTBar!$F$3*HTBar!$F$4*((1-COS(HTBar!$B15*PI()/180))/2))</f>
        <v>2.5881981690880549E-2</v>
      </c>
      <c r="D69" s="88">
        <f>(HTBar!$G$3*HTBar!$G$4*((1-COS(HTBar!$B15*PI()/180))/2))</f>
        <v>4.2127055305369393E-2</v>
      </c>
      <c r="E69" s="88">
        <f>(HTBar!$H$3*HTBar!$H$4*((1-COS(HTBar!$B15*PI()/180))/2))</f>
        <v>4.3897099645931137E-2</v>
      </c>
      <c r="F69" s="88">
        <f>(HTBar!$I$3*HTBar!$I$4*((1-COS(HTBar!$B15*PI()/180))/2))</f>
        <v>1.7948249613296038E-2</v>
      </c>
      <c r="G69" s="88">
        <f>(HTBar!$J$3*HTBar!$J$4*((1-COS(HTBar!$B15*PI()/180))/2))</f>
        <v>2.147653799881577E-2</v>
      </c>
      <c r="H69" s="88">
        <f>(HTBar!$K$3*HTBar!$K$4*((1-COS(HTBar!$B15*PI()/180))/2))</f>
        <v>1.9549156383537433E-2</v>
      </c>
      <c r="I69" s="88">
        <f>(HTBar!$L$3*HTBar!$L$4*((1-COS(HTBar!$B15*PI()/180))/2))</f>
        <v>1.5788795517810716E-2</v>
      </c>
      <c r="J69" s="88">
        <f>(HTBar!$M$3*HTBar!$M$4*((1-COS(HTBar!$B15*PI()/180))/2))</f>
        <v>1.2704984933365374E-2</v>
      </c>
      <c r="K69" s="88">
        <f>(HTBar!$N$3*HTBar!$N$4*((1-COS(HTBar!$B15*PI()/180))/2))</f>
        <v>6.903172928190782E-3</v>
      </c>
      <c r="L69" s="88">
        <f>(HTBar!$O$3*HTBar!$O$4*((1-COS(HTBar!$B15*PI()/180))/2))</f>
        <v>1.0820871068634099E-2</v>
      </c>
      <c r="M69" s="88">
        <f>(HTBar!$P$3*HTBar!$P$4*((1-COS(HTBar!$B15*PI()/180))/2))</f>
        <v>1.2225106245479749E-2</v>
      </c>
    </row>
    <row r="70" spans="1:13" x14ac:dyDescent="0.25">
      <c r="A70" s="92" t="str">
        <f>"HTGround at Beta = " &amp; HTBar!B16</f>
        <v>HTGround at Beta = 15</v>
      </c>
      <c r="B70" s="88">
        <f>(HTBar!$E$3*HTBar!$E$4*((1-COS(HTBar!$B16*PI()/180))/2))</f>
        <v>2.7379280060207831E-2</v>
      </c>
      <c r="C70" s="88">
        <f>(HTBar!$F$3*HTBar!$F$4*((1-COS(HTBar!$B16*PI()/180))/2))</f>
        <v>4.0357451343227504E-2</v>
      </c>
      <c r="D70" s="88">
        <f>(HTBar!$G$3*HTBar!$G$4*((1-COS(HTBar!$B16*PI()/180))/2))</f>
        <v>6.5688192079934107E-2</v>
      </c>
      <c r="E70" s="88">
        <f>(HTBar!$H$3*HTBar!$H$4*((1-COS(HTBar!$B16*PI()/180))/2))</f>
        <v>6.8448200150519584E-2</v>
      </c>
      <c r="F70" s="88">
        <f>(HTBar!$I$3*HTBar!$I$4*((1-COS(HTBar!$B16*PI()/180))/2))</f>
        <v>2.7986481835736633E-2</v>
      </c>
      <c r="G70" s="88">
        <f>(HTBar!$J$3*HTBar!$J$4*((1-COS(HTBar!$B16*PI()/180))/2))</f>
        <v>3.3488097923103664E-2</v>
      </c>
      <c r="H70" s="88">
        <f>(HTBar!$K$3*HTBar!$K$4*((1-COS(HTBar!$B16*PI()/180))/2))</f>
        <v>3.0482755801799492E-2</v>
      </c>
      <c r="I70" s="88">
        <f>(HTBar!$L$3*HTBar!$L$4*((1-COS(HTBar!$B16*PI()/180))/2))</f>
        <v>2.4619271989622365E-2</v>
      </c>
      <c r="J70" s="88">
        <f>(HTBar!$M$3*HTBar!$M$4*((1-COS(HTBar!$B16*PI()/180))/2))</f>
        <v>1.9810724595535685E-2</v>
      </c>
      <c r="K70" s="88">
        <f>(HTBar!$N$3*HTBar!$N$4*((1-COS(HTBar!$B16*PI()/180))/2))</f>
        <v>1.0764031475283318E-2</v>
      </c>
      <c r="L70" s="88">
        <f>(HTBar!$O$3*HTBar!$O$4*((1-COS(HTBar!$B16*PI()/180))/2))</f>
        <v>1.6872849338179154E-2</v>
      </c>
      <c r="M70" s="88">
        <f>(HTBar!$P$3*HTBar!$P$4*((1-COS(HTBar!$B16*PI()/180))/2))</f>
        <v>1.9062455740843628E-2</v>
      </c>
    </row>
    <row r="71" spans="1:13" x14ac:dyDescent="0.25">
      <c r="A71" s="92" t="str">
        <f>"HTGround at Beta = " &amp; HTBar!B17</f>
        <v>HTGround at Beta = 18</v>
      </c>
      <c r="B71" s="88">
        <f>(HTBar!$E$3*HTBar!$E$4*((1-COS(HTBar!$B17*PI()/180))/2))</f>
        <v>3.9327068026518232E-2</v>
      </c>
      <c r="C71" s="88">
        <f>(HTBar!$F$3*HTBar!$F$4*((1-COS(HTBar!$B17*PI()/180))/2))</f>
        <v>5.7968662100020177E-2</v>
      </c>
      <c r="D71" s="88">
        <f>(HTBar!$G$3*HTBar!$G$4*((1-COS(HTBar!$B17*PI()/180))/2))</f>
        <v>9.4353247886203015E-2</v>
      </c>
      <c r="E71" s="88">
        <f>(HTBar!$H$3*HTBar!$H$4*((1-COS(HTBar!$B17*PI()/180))/2))</f>
        <v>9.8317670066295604E-2</v>
      </c>
      <c r="F71" s="88">
        <f>(HTBar!$I$3*HTBar!$I$4*((1-COS(HTBar!$B17*PI()/180))/2))</f>
        <v>4.0199240906138599E-2</v>
      </c>
      <c r="G71" s="88">
        <f>(HTBar!$J$3*HTBar!$J$4*((1-COS(HTBar!$B17*PI()/180))/2))</f>
        <v>4.8101655785123112E-2</v>
      </c>
      <c r="H71" s="88">
        <f>(HTBar!$K$3*HTBar!$K$4*((1-COS(HTBar!$B17*PI()/180))/2))</f>
        <v>4.3784840522355657E-2</v>
      </c>
      <c r="I71" s="88">
        <f>(HTBar!$L$3*HTBar!$L$4*((1-COS(HTBar!$B17*PI()/180))/2))</f>
        <v>3.5362645846425671E-2</v>
      </c>
      <c r="J71" s="88">
        <f>(HTBar!$M$3*HTBar!$M$4*((1-COS(HTBar!$B17*PI()/180))/2))</f>
        <v>2.8455741425997737E-2</v>
      </c>
      <c r="K71" s="88">
        <f>(HTBar!$N$3*HTBar!$N$4*((1-COS(HTBar!$B17*PI()/180))/2))</f>
        <v>1.5461246502360998E-2</v>
      </c>
      <c r="L71" s="88">
        <f>(HTBar!$O$3*HTBar!$O$4*((1-COS(HTBar!$B17*PI()/180))/2))</f>
        <v>2.4235834260965875E-2</v>
      </c>
      <c r="M71" s="88">
        <f>(HTBar!$P$3*HTBar!$P$4*((1-COS(HTBar!$B17*PI()/180))/2))</f>
        <v>2.7380942523839318E-2</v>
      </c>
    </row>
    <row r="72" spans="1:13" x14ac:dyDescent="0.25">
      <c r="A72" s="87" t="str">
        <f>"HTGround at Beta = " &amp; HTBar!B18</f>
        <v>HTGround at Beta = 21</v>
      </c>
      <c r="B72" s="88">
        <f>(HTBar!$E$3*HTBar!$E$4*((1-COS(HTBar!$B18*PI()/180))/2))</f>
        <v>5.3369455700968453E-2</v>
      </c>
      <c r="C72" s="88">
        <f>(HTBar!$F$3*HTBar!$F$4*((1-COS(HTBar!$B18*PI()/180))/2))</f>
        <v>7.8667342856714284E-2</v>
      </c>
      <c r="D72" s="88">
        <f>(HTBar!$G$3*HTBar!$G$4*((1-COS(HTBar!$B18*PI()/180))/2))</f>
        <v>0.12804365379869448</v>
      </c>
      <c r="E72" s="88">
        <f>(HTBar!$H$3*HTBar!$H$4*((1-COS(HTBar!$B18*PI()/180))/2))</f>
        <v>0.13342363925242115</v>
      </c>
      <c r="F72" s="88">
        <f>(HTBar!$I$3*HTBar!$I$4*((1-COS(HTBar!$B18*PI()/180))/2))</f>
        <v>5.4553052500788325E-2</v>
      </c>
      <c r="G72" s="88">
        <f>(HTBar!$J$3*HTBar!$J$4*((1-COS(HTBar!$B18*PI()/180))/2))</f>
        <v>6.5277156838550121E-2</v>
      </c>
      <c r="H72" s="88">
        <f>(HTBar!$K$3*HTBar!$K$4*((1-COS(HTBar!$B18*PI()/180))/2))</f>
        <v>5.9418950455603324E-2</v>
      </c>
      <c r="I72" s="88">
        <f>(HTBar!$L$3*HTBar!$L$4*((1-COS(HTBar!$B18*PI()/180))/2))</f>
        <v>4.7989470247241803E-2</v>
      </c>
      <c r="J72" s="88">
        <f>(HTBar!$M$3*HTBar!$M$4*((1-COS(HTBar!$B18*PI()/180))/2))</f>
        <v>3.8616340034526908E-2</v>
      </c>
      <c r="K72" s="88">
        <f>(HTBar!$N$3*HTBar!$N$4*((1-COS(HTBar!$B18*PI()/180))/2))</f>
        <v>2.0981943269533967E-2</v>
      </c>
      <c r="L72" s="88">
        <f>(HTBar!$O$3*HTBar!$O$4*((1-COS(HTBar!$B18*PI()/180))/2))</f>
        <v>3.2889644407115642E-2</v>
      </c>
      <c r="M72" s="88">
        <f>(HTBar!$P$3*HTBar!$P$4*((1-COS(HTBar!$B18*PI()/180))/2))</f>
        <v>3.7157766200405465E-2</v>
      </c>
    </row>
    <row r="73" spans="1:13" x14ac:dyDescent="0.25">
      <c r="A73" s="92" t="str">
        <f>"HTGround at Beta = " &amp; HTBar!B19</f>
        <v>HTGround at Beta = 24</v>
      </c>
      <c r="B73" s="88">
        <f>(HTBar!$E$3*HTBar!$E$4*((1-COS(HTBar!$B19*PI()/180))/2))</f>
        <v>6.9467953875017349E-2</v>
      </c>
      <c r="C73" s="88">
        <f>(HTBar!$F$3*HTBar!$F$4*((1-COS(HTBar!$B19*PI()/180))/2))</f>
        <v>0.10239675996810356</v>
      </c>
      <c r="D73" s="88">
        <f>(HTBar!$G$3*HTBar!$G$4*((1-COS(HTBar!$B19*PI()/180))/2))</f>
        <v>0.16666706675659404</v>
      </c>
      <c r="E73" s="88">
        <f>(HTBar!$H$3*HTBar!$H$4*((1-COS(HTBar!$B19*PI()/180))/2))</f>
        <v>0.17366988468754341</v>
      </c>
      <c r="F73" s="88">
        <f>(HTBar!$I$3*HTBar!$I$4*((1-COS(HTBar!$B19*PI()/180))/2))</f>
        <v>7.1008573819826212E-2</v>
      </c>
      <c r="G73" s="88">
        <f>(HTBar!$J$3*HTBar!$J$4*((1-COS(HTBar!$B19*PI()/180))/2))</f>
        <v>8.4967524228851871E-2</v>
      </c>
      <c r="H73" s="88">
        <f>(HTBar!$K$3*HTBar!$K$4*((1-COS(HTBar!$B19*PI()/180))/2))</f>
        <v>7.7342233592929271E-2</v>
      </c>
      <c r="I73" s="88">
        <f>(HTBar!$L$3*HTBar!$L$4*((1-COS(HTBar!$B19*PI()/180))/2))</f>
        <v>6.2465135944068023E-2</v>
      </c>
      <c r="J73" s="88">
        <f>(HTBar!$M$3*HTBar!$M$4*((1-COS(HTBar!$B19*PI()/180))/2))</f>
        <v>5.0264670926591856E-2</v>
      </c>
      <c r="K73" s="88">
        <f>(HTBar!$N$3*HTBar!$N$4*((1-COS(HTBar!$B19*PI()/180))/2))</f>
        <v>2.7310989930702384E-2</v>
      </c>
      <c r="L73" s="88">
        <f>(HTBar!$O$3*HTBar!$O$4*((1-COS(HTBar!$B19*PI()/180))/2))</f>
        <v>4.2810560284536905E-2</v>
      </c>
      <c r="M73" s="88">
        <f>(HTBar!$P$3*HTBar!$P$4*((1-COS(HTBar!$B19*PI()/180))/2))</f>
        <v>4.8366129176423384E-2</v>
      </c>
    </row>
    <row r="74" spans="1:13" x14ac:dyDescent="0.25">
      <c r="A74" s="92" t="str">
        <f>"HTGround at Beta = " &amp; HTBar!B20</f>
        <v>HTGround at Beta = 27</v>
      </c>
      <c r="B74" s="88">
        <f>(HTBar!$E$3*HTBar!$E$4*((1-COS(HTBar!$B20*PI()/180))/2))</f>
        <v>8.7578437684162624E-2</v>
      </c>
      <c r="C74" s="88">
        <f>(HTBar!$F$3*HTBar!$F$4*((1-COS(HTBar!$B20*PI()/180))/2))</f>
        <v>0.1290918727512971</v>
      </c>
      <c r="D74" s="88">
        <f>(HTBar!$G$3*HTBar!$G$4*((1-COS(HTBar!$B20*PI()/180))/2))</f>
        <v>0.21011762266966436</v>
      </c>
      <c r="E74" s="88">
        <f>(HTBar!$H$3*HTBar!$H$4*((1-COS(HTBar!$B20*PI()/180))/2))</f>
        <v>0.21894609421040662</v>
      </c>
      <c r="F74" s="88">
        <f>(HTBar!$I$3*HTBar!$I$4*((1-COS(HTBar!$B20*PI()/180))/2))</f>
        <v>8.9520701423125917E-2</v>
      </c>
      <c r="G74" s="88">
        <f>(HTBar!$J$3*HTBar!$J$4*((1-COS(HTBar!$B20*PI()/180))/2))</f>
        <v>0.10711878802767202</v>
      </c>
      <c r="H74" s="88">
        <f>(HTBar!$K$3*HTBar!$K$4*((1-COS(HTBar!$B20*PI()/180))/2))</f>
        <v>9.7505563461086089E-2</v>
      </c>
      <c r="I74" s="88">
        <f>(HTBar!$L$3*HTBar!$L$4*((1-COS(HTBar!$B20*PI()/180))/2))</f>
        <v>7.8749966143420433E-2</v>
      </c>
      <c r="J74" s="88">
        <f>(HTBar!$M$3*HTBar!$M$4*((1-COS(HTBar!$B20*PI()/180))/2))</f>
        <v>6.336880683688291E-2</v>
      </c>
      <c r="K74" s="88">
        <f>(HTBar!$N$3*HTBar!$N$4*((1-COS(HTBar!$B20*PI()/180))/2))</f>
        <v>3.4431039008894576E-2</v>
      </c>
      <c r="L74" s="88">
        <f>(HTBar!$O$3*HTBar!$O$4*((1-COS(HTBar!$B20*PI()/180))/2))</f>
        <v>5.3971389352403983E-2</v>
      </c>
      <c r="M74" s="88">
        <f>(HTBar!$P$3*HTBar!$P$4*((1-COS(HTBar!$B20*PI()/180))/2))</f>
        <v>6.0975310108059483E-2</v>
      </c>
    </row>
    <row r="75" spans="1:13" x14ac:dyDescent="0.25">
      <c r="A75" s="87" t="str">
        <f>"HTGround at Beta = " &amp; HTBar!B21</f>
        <v>HTGround at Beta = 30</v>
      </c>
      <c r="B75" s="88">
        <f>(HTBar!$E$3*HTBar!$E$4*((1-COS(HTBar!$B21*PI()/180))/2))</f>
        <v>0.1076512675511278</v>
      </c>
      <c r="C75" s="88">
        <f>(HTBar!$F$3*HTBar!$F$4*((1-COS(HTBar!$B21*PI()/180))/2))</f>
        <v>0.15867951175771083</v>
      </c>
      <c r="D75" s="88">
        <f>(HTBar!$G$3*HTBar!$G$4*((1-COS(HTBar!$B21*PI()/180))/2))</f>
        <v>0.25827622658435906</v>
      </c>
      <c r="E75" s="88">
        <f>(HTBar!$H$3*HTBar!$H$4*((1-COS(HTBar!$B21*PI()/180))/2))</f>
        <v>0.2691281688778196</v>
      </c>
      <c r="F75" s="88">
        <f>(HTBar!$I$3*HTBar!$I$4*((1-COS(HTBar!$B21*PI()/180))/2))</f>
        <v>0.11003869485568912</v>
      </c>
      <c r="G75" s="88">
        <f>(HTBar!$J$3*HTBar!$J$4*((1-COS(HTBar!$B21*PI()/180))/2))</f>
        <v>0.13167023316065363</v>
      </c>
      <c r="H75" s="88">
        <f>(HTBar!$K$3*HTBar!$K$4*((1-COS(HTBar!$B21*PI()/180))/2))</f>
        <v>0.11985367377444114</v>
      </c>
      <c r="I75" s="88">
        <f>(HTBar!$L$3*HTBar!$L$4*((1-COS(HTBar!$B21*PI()/180))/2))</f>
        <v>9.6799325257667351E-2</v>
      </c>
      <c r="J75" s="88">
        <f>(HTBar!$M$3*HTBar!$M$4*((1-COS(HTBar!$B21*PI()/180))/2))</f>
        <v>7.7892830239727345E-2</v>
      </c>
      <c r="K75" s="88">
        <f>(HTBar!$N$3*HTBar!$N$4*((1-COS(HTBar!$B21*PI()/180))/2))</f>
        <v>4.232257494449581E-2</v>
      </c>
      <c r="L75" s="88">
        <f>(HTBar!$O$3*HTBar!$O$4*((1-COS(HTBar!$B21*PI()/180))/2))</f>
        <v>6.6341540554021639E-2</v>
      </c>
      <c r="M75" s="88">
        <f>(HTBar!$P$3*HTBar!$P$4*((1-COS(HTBar!$B21*PI()/180))/2))</f>
        <v>7.4950748106833637E-2</v>
      </c>
    </row>
    <row r="76" spans="1:13" x14ac:dyDescent="0.25">
      <c r="A76" s="92" t="str">
        <f>"HTGround at Beta = " &amp; HTBar!B22</f>
        <v>HTGround at Beta = 33</v>
      </c>
      <c r="B76" s="88">
        <f>(HTBar!$E$3*HTBar!$E$4*((1-COS(HTBar!$B22*PI()/180))/2))</f>
        <v>0.12963142524449286</v>
      </c>
      <c r="C76" s="88">
        <f>(HTBar!$F$3*HTBar!$F$4*((1-COS(HTBar!$B22*PI()/180))/2))</f>
        <v>0.19107857932543981</v>
      </c>
      <c r="D76" s="88">
        <f>(HTBar!$G$3*HTBar!$G$4*((1-COS(HTBar!$B22*PI()/180))/2))</f>
        <v>0.31101087911481151</v>
      </c>
      <c r="E76" s="88">
        <f>(HTBar!$H$3*HTBar!$H$4*((1-COS(HTBar!$B22*PI()/180))/2))</f>
        <v>0.32407856311123223</v>
      </c>
      <c r="F76" s="88">
        <f>(HTBar!$I$3*HTBar!$I$4*((1-COS(HTBar!$B22*PI()/180))/2))</f>
        <v>0.13250631572370541</v>
      </c>
      <c r="G76" s="88">
        <f>(HTBar!$J$3*HTBar!$J$4*((1-COS(HTBar!$B22*PI()/180))/2))</f>
        <v>0.15855456582323724</v>
      </c>
      <c r="H76" s="88">
        <f>(HTBar!$K$3*HTBar!$K$4*((1-COS(HTBar!$B22*PI()/180))/2))</f>
        <v>0.14432530991602366</v>
      </c>
      <c r="I76" s="88">
        <f>(HTBar!$L$3*HTBar!$L$4*((1-COS(HTBar!$B22*PI()/180))/2))</f>
        <v>0.11656374124807223</v>
      </c>
      <c r="J76" s="88">
        <f>(HTBar!$M$3*HTBar!$M$4*((1-COS(HTBar!$B22*PI()/180))/2))</f>
        <v>9.3796931796530467E-2</v>
      </c>
      <c r="K76" s="88">
        <f>(HTBar!$N$3*HTBar!$N$4*((1-COS(HTBar!$B22*PI()/180))/2))</f>
        <v>5.0963967586040534E-2</v>
      </c>
      <c r="L76" s="88">
        <f>(HTBar!$O$3*HTBar!$O$4*((1-COS(HTBar!$B22*PI()/180))/2))</f>
        <v>7.988710816478492E-2</v>
      </c>
      <c r="M76" s="88">
        <f>(HTBar!$P$3*HTBar!$P$4*((1-COS(HTBar!$B22*PI()/180))/2))</f>
        <v>9.0254137468611995E-2</v>
      </c>
    </row>
    <row r="77" spans="1:13" x14ac:dyDescent="0.25">
      <c r="A77" s="87" t="str">
        <f>"HTGround at Beta = " &amp; HTBar!B23</f>
        <v>HTGround at Beta = 36</v>
      </c>
      <c r="B77" s="88">
        <f>(HTBar!$E$3*HTBar!$E$4*((1-COS(HTBar!$B23*PI()/180))/2))</f>
        <v>0.15345866467984223</v>
      </c>
      <c r="C77" s="88">
        <f>(HTBar!$F$3*HTBar!$F$4*((1-COS(HTBar!$B23*PI()/180))/2))</f>
        <v>0.22620027186231231</v>
      </c>
      <c r="D77" s="88">
        <f>(HTBar!$G$3*HTBar!$G$4*((1-COS(HTBar!$B23*PI()/180))/2))</f>
        <v>0.3681770382439763</v>
      </c>
      <c r="E77" s="88">
        <f>(HTBar!$H$3*HTBar!$H$4*((1-COS(HTBar!$B23*PI()/180))/2))</f>
        <v>0.38364666169960565</v>
      </c>
      <c r="F77" s="88">
        <f>(HTBar!$I$3*HTBar!$I$4*((1-COS(HTBar!$B23*PI()/180))/2))</f>
        <v>0.15686198184008068</v>
      </c>
      <c r="G77" s="88">
        <f>(HTBar!$J$3*HTBar!$J$4*((1-COS(HTBar!$B23*PI()/180))/2))</f>
        <v>0.18769809792830164</v>
      </c>
      <c r="H77" s="88">
        <f>(HTBar!$K$3*HTBar!$K$4*((1-COS(HTBar!$B23*PI()/180))/2))</f>
        <v>0.17085339683217202</v>
      </c>
      <c r="I77" s="88">
        <f>(HTBar!$L$3*HTBar!$L$4*((1-COS(HTBar!$B23*PI()/180))/2))</f>
        <v>0.13798904122421299</v>
      </c>
      <c r="J77" s="88">
        <f>(HTBar!$M$3*HTBar!$M$4*((1-COS(HTBar!$B23*PI()/180))/2))</f>
        <v>0.11103751947040556</v>
      </c>
      <c r="K77" s="88">
        <f>(HTBar!$N$3*HTBar!$N$4*((1-COS(HTBar!$B23*PI()/180))/2))</f>
        <v>6.0331531476954095E-2</v>
      </c>
      <c r="L77" s="88">
        <f>(HTBar!$O$3*HTBar!$O$4*((1-COS(HTBar!$B23*PI()/180))/2))</f>
        <v>9.4570964725413528E-2</v>
      </c>
      <c r="M77" s="88">
        <f>(HTBar!$P$3*HTBar!$P$4*((1-COS(HTBar!$B23*PI()/180))/2))</f>
        <v>0.10684353266687943</v>
      </c>
    </row>
    <row r="78" spans="1:13" x14ac:dyDescent="0.25">
      <c r="A78" s="92" t="str">
        <f>"HTGround at Beta = " &amp; HTBar!B24</f>
        <v>HTGround at Beta = 39</v>
      </c>
      <c r="B78" s="88">
        <f>(HTBar!$E$3*HTBar!$E$4*((1-COS(HTBar!$B24*PI()/180))/2))</f>
        <v>0.17906767705009474</v>
      </c>
      <c r="C78" s="88">
        <f>(HTBar!$F$3*HTBar!$F$4*((1-COS(HTBar!$B24*PI()/180))/2))</f>
        <v>0.26394832325036371</v>
      </c>
      <c r="D78" s="88">
        <f>(HTBar!$G$3*HTBar!$G$4*((1-COS(HTBar!$B24*PI()/180))/2))</f>
        <v>0.42961801550325146</v>
      </c>
      <c r="E78" s="88">
        <f>(HTBar!$H$3*HTBar!$H$4*((1-COS(HTBar!$B24*PI()/180))/2))</f>
        <v>0.44766919262523691</v>
      </c>
      <c r="F78" s="88">
        <f>(HTBar!$I$3*HTBar!$I$4*((1-COS(HTBar!$B24*PI()/180))/2))</f>
        <v>0.18303893601693152</v>
      </c>
      <c r="G78" s="88">
        <f>(HTBar!$J$3*HTBar!$J$4*((1-COS(HTBar!$B24*PI()/180))/2))</f>
        <v>0.21902094908008901</v>
      </c>
      <c r="H78" s="88">
        <f>(HTBar!$K$3*HTBar!$K$4*((1-COS(HTBar!$B24*PI()/180))/2))</f>
        <v>0.19936522288059386</v>
      </c>
      <c r="I78" s="88">
        <f>(HTBar!$L$3*HTBar!$L$4*((1-COS(HTBar!$B24*PI()/180))/2))</f>
        <v>0.1610164999281094</v>
      </c>
      <c r="J78" s="88">
        <f>(HTBar!$M$3*HTBar!$M$4*((1-COS(HTBar!$B24*PI()/180))/2))</f>
        <v>0.12956733800891712</v>
      </c>
      <c r="K78" s="88">
        <f>(HTBar!$N$3*HTBar!$N$4*((1-COS(HTBar!$B24*PI()/180))/2))</f>
        <v>7.0399590775742885E-2</v>
      </c>
      <c r="L78" s="88">
        <f>(HTBar!$O$3*HTBar!$O$4*((1-COS(HTBar!$B24*PI()/180))/2))</f>
        <v>0.11035286280573715</v>
      </c>
      <c r="M78" s="88">
        <f>(HTBar!$P$3*HTBar!$P$4*((1-COS(HTBar!$B24*PI()/180))/2))</f>
        <v>0.12467346332251224</v>
      </c>
    </row>
    <row r="79" spans="1:13" x14ac:dyDescent="0.25">
      <c r="A79" s="92" t="str">
        <f>"HTGround at Beta = " &amp; HTBar!B25</f>
        <v>HTGround at Beta = 42</v>
      </c>
      <c r="B79" s="88">
        <f>(HTBar!$E$3*HTBar!$E$4*((1-COS(HTBar!$B25*PI()/180))/2))</f>
        <v>0.20638826983240419</v>
      </c>
      <c r="C79" s="88">
        <f>(HTBar!$F$3*HTBar!$F$4*((1-COS(HTBar!$B25*PI()/180))/2))</f>
        <v>0.30421926870457433</v>
      </c>
      <c r="D79" s="88">
        <f>(HTBar!$G$3*HTBar!$G$4*((1-COS(HTBar!$B25*PI()/180))/2))</f>
        <v>0.49516540544467935</v>
      </c>
      <c r="E79" s="88">
        <f>(HTBar!$H$3*HTBar!$H$4*((1-COS(HTBar!$B25*PI()/180))/2))</f>
        <v>0.51597067458101054</v>
      </c>
      <c r="F79" s="88">
        <f>(HTBar!$I$3*HTBar!$I$4*((1-COS(HTBar!$B25*PI()/180))/2))</f>
        <v>0.21096542904239704</v>
      </c>
      <c r="G79" s="88">
        <f>(HTBar!$J$3*HTBar!$J$4*((1-COS(HTBar!$B25*PI()/180))/2))</f>
        <v>0.25243726552081691</v>
      </c>
      <c r="H79" s="88">
        <f>(HTBar!$K$3*HTBar!$K$4*((1-COS(HTBar!$B25*PI()/180))/2))</f>
        <v>0.22978263912792313</v>
      </c>
      <c r="I79" s="88">
        <f>(HTBar!$L$3*HTBar!$L$4*((1-COS(HTBar!$B25*PI()/180))/2))</f>
        <v>0.18558300069607311</v>
      </c>
      <c r="J79" s="88">
        <f>(HTBar!$M$3*HTBar!$M$4*((1-COS(HTBar!$B25*PI()/180))/2))</f>
        <v>0.14933559846744299</v>
      </c>
      <c r="K79" s="88">
        <f>(HTBar!$N$3*HTBar!$N$4*((1-COS(HTBar!$B25*PI()/180))/2))</f>
        <v>8.114054963169115E-2</v>
      </c>
      <c r="L79" s="88">
        <f>(HTBar!$O$3*HTBar!$O$4*((1-COS(HTBar!$B25*PI()/180))/2))</f>
        <v>0.12718954532010393</v>
      </c>
      <c r="M79" s="88">
        <f>(HTBar!$P$3*HTBar!$P$4*((1-COS(HTBar!$B25*PI()/180))/2))</f>
        <v>0.14369505883492661</v>
      </c>
    </row>
    <row r="80" spans="1:13" x14ac:dyDescent="0.25">
      <c r="A80" s="92" t="str">
        <f>"HTGround at Beta = " &amp; HTBar!B26</f>
        <v>HTGround at Beta = 45</v>
      </c>
      <c r="B80" s="88">
        <f>(HTBar!$E$3*HTBar!$E$4*((1-COS(HTBar!$B26*PI()/180))/2))</f>
        <v>0.23534555918098529</v>
      </c>
      <c r="C80" s="88">
        <f>(HTBar!$F$3*HTBar!$F$4*((1-COS(HTBar!$B26*PI()/180))/2))</f>
        <v>0.34690272836265318</v>
      </c>
      <c r="D80" s="88">
        <f>(HTBar!$G$3*HTBar!$G$4*((1-COS(HTBar!$B26*PI()/180))/2))</f>
        <v>0.56463954722857357</v>
      </c>
      <c r="E80" s="88">
        <f>(HTBar!$H$3*HTBar!$H$4*((1-COS(HTBar!$B26*PI()/180))/2))</f>
        <v>0.58836389795246335</v>
      </c>
      <c r="F80" s="88">
        <f>(HTBar!$I$3*HTBar!$I$4*((1-COS(HTBar!$B26*PI()/180))/2))</f>
        <v>0.24056491634024105</v>
      </c>
      <c r="G80" s="88">
        <f>(HTBar!$J$3*HTBar!$J$4*((1-COS(HTBar!$B26*PI()/180))/2))</f>
        <v>0.28785545544986108</v>
      </c>
      <c r="H80" s="88">
        <f>(HTBar!$K$3*HTBar!$K$4*((1-COS(HTBar!$B26*PI()/180))/2))</f>
        <v>0.26202227355051455</v>
      </c>
      <c r="I80" s="88">
        <f>(HTBar!$L$3*HTBar!$L$4*((1-COS(HTBar!$B26*PI()/180))/2))</f>
        <v>0.21162120845709567</v>
      </c>
      <c r="J80" s="88">
        <f>(HTBar!$M$3*HTBar!$M$4*((1-COS(HTBar!$B26*PI()/180))/2))</f>
        <v>0.17028811741814126</v>
      </c>
      <c r="K80" s="88">
        <f>(HTBar!$N$3*HTBar!$N$4*((1-COS(HTBar!$B26*PI()/180))/2))</f>
        <v>9.2524967823169615E-2</v>
      </c>
      <c r="L80" s="88">
        <f>(HTBar!$O$3*HTBar!$O$4*((1-COS(HTBar!$B26*PI()/180))/2))</f>
        <v>0.14503486409204538</v>
      </c>
      <c r="M80" s="88">
        <f>(HTBar!$P$3*HTBar!$P$4*((1-COS(HTBar!$B26*PI()/180))/2))</f>
        <v>0.16385618233299787</v>
      </c>
    </row>
    <row r="81" spans="1:13" x14ac:dyDescent="0.25">
      <c r="A81" s="92" t="str">
        <f>"HTGround at Beta = " &amp; HTBar!B27</f>
        <v>HTGround at Beta = 48</v>
      </c>
      <c r="B81" s="88">
        <f>(HTBar!$E$3*HTBar!$E$4*((1-COS(HTBar!$B27*PI()/180))/2))</f>
        <v>0.26586017517853022</v>
      </c>
      <c r="C81" s="88">
        <f>(HTBar!$F$3*HTBar!$F$4*((1-COS(HTBar!$B27*PI()/180))/2))</f>
        <v>0.3918817098285684</v>
      </c>
      <c r="D81" s="88">
        <f>(HTBar!$G$3*HTBar!$G$4*((1-COS(HTBar!$B27*PI()/180))/2))</f>
        <v>0.6378500170613931</v>
      </c>
      <c r="E81" s="88">
        <f>(HTBar!$H$3*HTBar!$H$4*((1-COS(HTBar!$B27*PI()/180))/2))</f>
        <v>0.66465043794632572</v>
      </c>
      <c r="F81" s="88">
        <f>(HTBar!$I$3*HTBar!$I$4*((1-COS(HTBar!$B27*PI()/180))/2))</f>
        <v>0.27175626777321538</v>
      </c>
      <c r="G81" s="88">
        <f>(HTBar!$J$3*HTBar!$J$4*((1-COS(HTBar!$B27*PI()/180))/2))</f>
        <v>0.32517844007051411</v>
      </c>
      <c r="H81" s="88">
        <f>(HTBar!$K$3*HTBar!$K$4*((1-COS(HTBar!$B27*PI()/180))/2))</f>
        <v>0.29599575955136542</v>
      </c>
      <c r="I81" s="88">
        <f>(HTBar!$L$3*HTBar!$L$4*((1-COS(HTBar!$B27*PI()/180))/2))</f>
        <v>0.23905975429359777</v>
      </c>
      <c r="J81" s="88">
        <f>(HTBar!$M$3*HTBar!$M$4*((1-COS(HTBar!$B27*PI()/180))/2))</f>
        <v>0.19236746546295982</v>
      </c>
      <c r="K81" s="88">
        <f>(HTBar!$N$3*HTBar!$N$4*((1-COS(HTBar!$B27*PI()/180))/2))</f>
        <v>0.10452164145123667</v>
      </c>
      <c r="L81" s="88">
        <f>(HTBar!$O$3*HTBar!$O$4*((1-COS(HTBar!$B27*PI()/180))/2))</f>
        <v>0.16383990634322057</v>
      </c>
      <c r="M81" s="88">
        <f>(HTBar!$P$3*HTBar!$P$4*((1-COS(HTBar!$B27*PI()/180))/2))</f>
        <v>0.18510157357860041</v>
      </c>
    </row>
    <row r="82" spans="1:13" x14ac:dyDescent="0.25">
      <c r="A82" s="87" t="str">
        <f>"HTGround at Beta = " &amp; HTBar!B28</f>
        <v>HTGround at Beta = 51</v>
      </c>
      <c r="B82" s="88">
        <f>(HTBar!$E$3*HTBar!$E$4*((1-COS(HTBar!$B28*PI()/180))/2))</f>
        <v>0.29784847938363457</v>
      </c>
      <c r="C82" s="88">
        <f>(HTBar!$F$3*HTBar!$F$4*((1-COS(HTBar!$B28*PI()/180))/2))</f>
        <v>0.4390329288405726</v>
      </c>
      <c r="D82" s="88">
        <f>(HTBar!$G$3*HTBar!$G$4*((1-COS(HTBar!$B28*PI()/180))/2))</f>
        <v>0.71459615013412325</v>
      </c>
      <c r="E82" s="88">
        <f>(HTBar!$H$3*HTBar!$H$4*((1-COS(HTBar!$B28*PI()/180))/2))</f>
        <v>0.74462119845908659</v>
      </c>
      <c r="F82" s="88">
        <f>(HTBar!$I$3*HTBar!$I$4*((1-COS(HTBar!$B28*PI()/180))/2))</f>
        <v>0.30445399001512652</v>
      </c>
      <c r="G82" s="88">
        <f>(HTBar!$J$3*HTBar!$J$4*((1-COS(HTBar!$B28*PI()/180))/2))</f>
        <v>0.36430391967621972</v>
      </c>
      <c r="H82" s="88">
        <f>(HTBar!$K$3*HTBar!$K$4*((1-COS(HTBar!$B28*PI()/180))/2))</f>
        <v>0.33160997816681537</v>
      </c>
      <c r="I82" s="88">
        <f>(HTBar!$L$3*HTBar!$L$4*((1-COS(HTBar!$B28*PI()/180))/2))</f>
        <v>0.2678234310586714</v>
      </c>
      <c r="J82" s="88">
        <f>(HTBar!$M$3*HTBar!$M$4*((1-COS(HTBar!$B28*PI()/180))/2))</f>
        <v>0.21551312464362449</v>
      </c>
      <c r="K82" s="88">
        <f>(HTBar!$N$3*HTBar!$N$4*((1-COS(HTBar!$B28*PI()/180))/2))</f>
        <v>0.11709768846735631</v>
      </c>
      <c r="L82" s="88">
        <f>(HTBar!$O$3*HTBar!$O$4*((1-COS(HTBar!$B28*PI()/180))/2))</f>
        <v>0.18355312875994148</v>
      </c>
      <c r="M82" s="88">
        <f>(HTBar!$P$3*HTBar!$P$4*((1-COS(HTBar!$B28*PI()/180))/2))</f>
        <v>0.20737300043107898</v>
      </c>
    </row>
    <row r="83" spans="1:13" x14ac:dyDescent="0.25">
      <c r="A83" s="87" t="str">
        <f>"HTGround at Beta = " &amp; HTBar!B29</f>
        <v>HTGround at Beta = 54</v>
      </c>
      <c r="B83" s="88">
        <f>(HTBar!$E$3*HTBar!$E$4*((1-COS(HTBar!$B29*PI()/180))/2))</f>
        <v>0.33122279407795197</v>
      </c>
      <c r="C83" s="88">
        <f>(HTBar!$F$3*HTBar!$F$4*((1-COS(HTBar!$B29*PI()/180))/2))</f>
        <v>0.48822714718479493</v>
      </c>
      <c r="D83" s="88">
        <f>(HTBar!$G$3*HTBar!$G$4*((1-COS(HTBar!$B29*PI()/180))/2))</f>
        <v>0.79466759063057024</v>
      </c>
      <c r="E83" s="88">
        <f>(HTBar!$H$3*HTBar!$H$4*((1-COS(HTBar!$B29*PI()/180))/2))</f>
        <v>0.82805698519488014</v>
      </c>
      <c r="F83" s="88">
        <f>(HTBar!$I$3*HTBar!$I$4*((1-COS(HTBar!$B29*PI()/180))/2))</f>
        <v>0.33856846088210013</v>
      </c>
      <c r="G83" s="88">
        <f>(HTBar!$J$3*HTBar!$J$4*((1-COS(HTBar!$B29*PI()/180))/2))</f>
        <v>0.40512465404695741</v>
      </c>
      <c r="H83" s="88">
        <f>(HTBar!$K$3*HTBar!$K$4*((1-COS(HTBar!$B29*PI()/180))/2))</f>
        <v>0.36876731329915358</v>
      </c>
      <c r="I83" s="88">
        <f>(HTBar!$L$3*HTBar!$L$4*((1-COS(HTBar!$B29*PI()/180))/2))</f>
        <v>0.29783339951364235</v>
      </c>
      <c r="J83" s="88">
        <f>(HTBar!$M$3*HTBar!$M$4*((1-COS(HTBar!$B29*PI()/180))/2))</f>
        <v>0.23966165431715614</v>
      </c>
      <c r="K83" s="88">
        <f>(HTBar!$N$3*HTBar!$N$4*((1-COS(HTBar!$B29*PI()/180))/2))</f>
        <v>0.13021863880080772</v>
      </c>
      <c r="L83" s="88">
        <f>(HTBar!$O$3*HTBar!$O$4*((1-COS(HTBar!$B29*PI()/180))/2))</f>
        <v>0.20412049876981317</v>
      </c>
      <c r="M83" s="88">
        <f>(HTBar!$P$3*HTBar!$P$4*((1-COS(HTBar!$B29*PI()/180))/2))</f>
        <v>0.23060941845749888</v>
      </c>
    </row>
    <row r="84" spans="1:13" x14ac:dyDescent="0.25">
      <c r="A84" s="92" t="str">
        <f>"HTGround at Beta = " &amp; HTBar!B30</f>
        <v>HTGround at Beta = 57</v>
      </c>
      <c r="B84" s="88">
        <f>(HTBar!$E$3*HTBar!$E$4*((1-COS(HTBar!$B30*PI()/180))/2))</f>
        <v>0.36589164258472534</v>
      </c>
      <c r="C84" s="88">
        <f>(HTBar!$F$3*HTBar!$F$4*((1-COS(HTBar!$B30*PI()/180))/2))</f>
        <v>0.53932952692820191</v>
      </c>
      <c r="D84" s="88">
        <f>(HTBar!$G$3*HTBar!$G$4*((1-COS(HTBar!$B30*PI()/180))/2))</f>
        <v>0.87784486829803055</v>
      </c>
      <c r="E84" s="88">
        <f>(HTBar!$H$3*HTBar!$H$4*((1-COS(HTBar!$B30*PI()/180))/2))</f>
        <v>0.91472910646181349</v>
      </c>
      <c r="F84" s="88">
        <f>(HTBar!$I$3*HTBar!$I$4*((1-COS(HTBar!$B30*PI()/180))/2))</f>
        <v>0.37400617498075761</v>
      </c>
      <c r="G84" s="88">
        <f>(HTBar!$J$3*HTBar!$J$4*((1-COS(HTBar!$B30*PI()/180))/2))</f>
        <v>0.44752875638723127</v>
      </c>
      <c r="H84" s="88">
        <f>(HTBar!$K$3*HTBar!$K$4*((1-COS(HTBar!$B30*PI()/180))/2))</f>
        <v>0.40736591927555671</v>
      </c>
      <c r="I84" s="88">
        <f>(HTBar!$L$3*HTBar!$L$4*((1-COS(HTBar!$B30*PI()/180))/2))</f>
        <v>0.32900740442094256</v>
      </c>
      <c r="J84" s="88">
        <f>(HTBar!$M$3*HTBar!$M$4*((1-COS(HTBar!$B30*PI()/180))/2))</f>
        <v>0.26474686504226319</v>
      </c>
      <c r="K84" s="88">
        <f>(HTBar!$N$3*HTBar!$N$4*((1-COS(HTBar!$B30*PI()/180))/2))</f>
        <v>0.1438485288387529</v>
      </c>
      <c r="L84" s="88">
        <f>(HTBar!$O$3*HTBar!$O$4*((1-COS(HTBar!$B30*PI()/180))/2))</f>
        <v>0.22548564264125884</v>
      </c>
      <c r="M84" s="88">
        <f>(HTBar!$P$3*HTBar!$P$4*((1-COS(HTBar!$B30*PI()/180))/2))</f>
        <v>0.25474713825119327</v>
      </c>
    </row>
    <row r="85" spans="1:13" x14ac:dyDescent="0.25">
      <c r="A85" s="92" t="str">
        <f>"HTGround at Beta = " &amp; HTBar!B31</f>
        <v>HTGround at Beta = 60</v>
      </c>
      <c r="B85" s="88">
        <f>(HTBar!$E$3*HTBar!$E$4*((1-COS(HTBar!$B31*PI()/180))/2))</f>
        <v>0.40175999999999989</v>
      </c>
      <c r="C85" s="88">
        <f>(HTBar!$F$3*HTBar!$F$4*((1-COS(HTBar!$B31*PI()/180))/2))</f>
        <v>0.59220000000000006</v>
      </c>
      <c r="D85" s="88">
        <f>(HTBar!$G$3*HTBar!$G$4*((1-COS(HTBar!$B31*PI()/180))/2))</f>
        <v>0.96389999999999976</v>
      </c>
      <c r="E85" s="88">
        <f>(HTBar!$H$3*HTBar!$H$4*((1-COS(HTBar!$B31*PI()/180))/2))</f>
        <v>1.0044</v>
      </c>
      <c r="F85" s="88">
        <f>(HTBar!$I$3*HTBar!$I$4*((1-COS(HTBar!$B31*PI()/180))/2))</f>
        <v>0.41066999999999992</v>
      </c>
      <c r="G85" s="88">
        <f>(HTBar!$J$3*HTBar!$J$4*((1-COS(HTBar!$B31*PI()/180))/2))</f>
        <v>0.49139999999999989</v>
      </c>
      <c r="H85" s="88">
        <f>(HTBar!$K$3*HTBar!$K$4*((1-COS(HTBar!$B31*PI()/180))/2))</f>
        <v>0.44729999999999992</v>
      </c>
      <c r="I85" s="88">
        <f>(HTBar!$L$3*HTBar!$L$4*((1-COS(HTBar!$B31*PI()/180))/2))</f>
        <v>0.36125999999999997</v>
      </c>
      <c r="J85" s="88">
        <f>(HTBar!$M$3*HTBar!$M$4*((1-COS(HTBar!$B31*PI()/180))/2))</f>
        <v>0.29069999999999996</v>
      </c>
      <c r="K85" s="88">
        <f>(HTBar!$N$3*HTBar!$N$4*((1-COS(HTBar!$B31*PI()/180))/2))</f>
        <v>0.15794999999999995</v>
      </c>
      <c r="L85" s="88">
        <f>(HTBar!$O$3*HTBar!$O$4*((1-COS(HTBar!$B31*PI()/180))/2))</f>
        <v>0.24758999999999995</v>
      </c>
      <c r="M85" s="88">
        <f>(HTBar!$P$3*HTBar!$P$4*((1-COS(HTBar!$B31*PI()/180))/2))</f>
        <v>0.27972000000000002</v>
      </c>
    </row>
    <row r="86" spans="1:13" x14ac:dyDescent="0.25">
      <c r="A86" s="92" t="str">
        <f>"HTGround at Beta = " &amp; HTBar!B32</f>
        <v>HTGround at Beta = 63</v>
      </c>
      <c r="B86" s="88">
        <f>(HTBar!$E$3*HTBar!$E$4*((1-COS(HTBar!$B32*PI()/180))/2))</f>
        <v>0.4387295536492794</v>
      </c>
      <c r="C86" s="88">
        <f>(HTBar!$F$3*HTBar!$F$4*((1-COS(HTBar!$B32*PI()/180))/2))</f>
        <v>0.64669365210848107</v>
      </c>
      <c r="D86" s="88">
        <f>(HTBar!$G$3*HTBar!$G$4*((1-COS(HTBar!$B32*PI()/180))/2))</f>
        <v>1.0525971146021018</v>
      </c>
      <c r="E86" s="88">
        <f>(HTBar!$H$3*HTBar!$H$4*((1-COS(HTBar!$B32*PI()/180))/2))</f>
        <v>1.0968238841231988</v>
      </c>
      <c r="F86" s="88">
        <f>(HTBar!$I$3*HTBar!$I$4*((1-COS(HTBar!$B32*PI()/180))/2))</f>
        <v>0.44845944294392071</v>
      </c>
      <c r="G86" s="88">
        <f>(HTBar!$J$3*HTBar!$J$4*((1-COS(HTBar!$B32*PI()/180))/2))</f>
        <v>0.53661813685597348</v>
      </c>
      <c r="H86" s="88">
        <f>(HTBar!$K$3*HTBar!$K$4*((1-COS(HTBar!$B32*PI()/180))/2))</f>
        <v>0.48846009893300152</v>
      </c>
      <c r="I86" s="88">
        <f>(HTBar!$L$3*HTBar!$L$4*((1-COS(HTBar!$B32*PI()/180))/2))</f>
        <v>0.39450278412818274</v>
      </c>
      <c r="J86" s="88">
        <f>(HTBar!$M$3*HTBar!$M$4*((1-COS(HTBar!$B32*PI()/180))/2))</f>
        <v>0.31744992345142753</v>
      </c>
      <c r="K86" s="88">
        <f>(HTBar!$N$3*HTBar!$N$4*((1-COS(HTBar!$B32*PI()/180))/2))</f>
        <v>0.17248440113227717</v>
      </c>
      <c r="L86" s="88">
        <f>(HTBar!$O$3*HTBar!$O$4*((1-COS(HTBar!$B32*PI()/180))/2))</f>
        <v>0.27037298433897122</v>
      </c>
      <c r="M86" s="88">
        <f>(HTBar!$P$3*HTBar!$P$4*((1-COS(HTBar!$B32*PI()/180))/2))</f>
        <v>0.30545955482570808</v>
      </c>
    </row>
    <row r="87" spans="1:13" x14ac:dyDescent="0.25">
      <c r="A87" s="87" t="str">
        <f>"HTGround at Beta = " &amp; HTBar!B33</f>
        <v>HTGround at Beta = 66</v>
      </c>
      <c r="B87" s="88">
        <f>(HTBar!$E$3*HTBar!$E$4*((1-COS(HTBar!$B33*PI()/180))/2))</f>
        <v>0.47669897255573307</v>
      </c>
      <c r="C87" s="88">
        <f>(HTBar!$F$3*HTBar!$F$4*((1-COS(HTBar!$B33*PI()/180))/2))</f>
        <v>0.70266111994102254</v>
      </c>
      <c r="D87" s="88">
        <f>(HTBar!$G$3*HTBar!$G$4*((1-COS(HTBar!$B33*PI()/180))/2))</f>
        <v>1.1436930994784724</v>
      </c>
      <c r="E87" s="88">
        <f>(HTBar!$H$3*HTBar!$H$4*((1-COS(HTBar!$B33*PI()/180))/2))</f>
        <v>1.1917474313893328</v>
      </c>
      <c r="F87" s="88">
        <f>(HTBar!$I$3*HTBar!$I$4*((1-COS(HTBar!$B33*PI()/180))/2))</f>
        <v>0.48727092557612234</v>
      </c>
      <c r="G87" s="88">
        <f>(HTBar!$J$3*HTBar!$J$4*((1-COS(HTBar!$B33*PI()/180))/2))</f>
        <v>0.58305922718510361</v>
      </c>
      <c r="H87" s="88">
        <f>(HTBar!$K$3*HTBar!$K$4*((1-COS(HTBar!$B33*PI()/180))/2))</f>
        <v>0.53073339910438921</v>
      </c>
      <c r="I87" s="88">
        <f>(HTBar!$L$3*HTBar!$L$4*((1-COS(HTBar!$B33*PI()/180))/2))</f>
        <v>0.4286446406448729</v>
      </c>
      <c r="J87" s="88">
        <f>(HTBar!$M$3*HTBar!$M$4*((1-COS(HTBar!$B33*PI()/180))/2))</f>
        <v>0.34492331571572982</v>
      </c>
      <c r="K87" s="88">
        <f>(HTBar!$N$3*HTBar!$N$4*((1-COS(HTBar!$B33*PI()/180))/2))</f>
        <v>0.1874118944523547</v>
      </c>
      <c r="L87" s="88">
        <f>(HTBar!$O$3*HTBar!$O$4*((1-COS(HTBar!$B33*PI()/180))/2))</f>
        <v>0.29377214908172528</v>
      </c>
      <c r="M87" s="88">
        <f>(HTBar!$P$3*HTBar!$P$4*((1-COS(HTBar!$B33*PI()/180))/2))</f>
        <v>0.33189525239767448</v>
      </c>
    </row>
    <row r="88" spans="1:13" x14ac:dyDescent="0.25">
      <c r="A88" s="87" t="str">
        <f>"HTGround at Beta = " &amp; HTBar!B34</f>
        <v>HTGround at Beta = 69</v>
      </c>
      <c r="B88" s="88">
        <f>(HTBar!$E$3*HTBar!$E$4*((1-COS(HTBar!$B34*PI()/180))/2))</f>
        <v>0.51556418518136027</v>
      </c>
      <c r="C88" s="88">
        <f>(HTBar!$F$3*HTBar!$F$4*((1-COS(HTBar!$B34*PI()/180))/2))</f>
        <v>0.75994900055854642</v>
      </c>
      <c r="D88" s="88">
        <f>(HTBar!$G$3*HTBar!$G$4*((1-COS(HTBar!$B34*PI()/180))/2))</f>
        <v>1.2369382668665698</v>
      </c>
      <c r="E88" s="88">
        <f>(HTBar!$H$3*HTBar!$H$4*((1-COS(HTBar!$B34*PI()/180))/2))</f>
        <v>1.2889104629534007</v>
      </c>
      <c r="F88" s="88">
        <f>(HTBar!$I$3*HTBar!$I$4*((1-COS(HTBar!$B34*PI()/180))/2))</f>
        <v>0.52699806832046303</v>
      </c>
      <c r="G88" s="88">
        <f>(HTBar!$J$3*HTBar!$J$4*((1-COS(HTBar!$B34*PI()/180))/2))</f>
        <v>0.63059597918687882</v>
      </c>
      <c r="H88" s="88">
        <f>(HTBar!$K$3*HTBar!$K$4*((1-COS(HTBar!$B34*PI()/180))/2))</f>
        <v>0.57400403233677433</v>
      </c>
      <c r="I88" s="88">
        <f>(HTBar!$L$3*HTBar!$L$4*((1-COS(HTBar!$B34*PI()/180))/2))</f>
        <v>0.46359198909452959</v>
      </c>
      <c r="J88" s="88">
        <f>(HTBar!$M$3*HTBar!$M$4*((1-COS(HTBar!$B34*PI()/180))/2))</f>
        <v>0.37304487413436238</v>
      </c>
      <c r="K88" s="88">
        <f>(HTBar!$N$3*HTBar!$N$4*((1-COS(HTBar!$B34*PI()/180))/2))</f>
        <v>0.20269156473863958</v>
      </c>
      <c r="L88" s="88">
        <f>(HTBar!$O$3*HTBar!$O$4*((1-COS(HTBar!$B34*PI()/180))/2))</f>
        <v>0.31772335874415819</v>
      </c>
      <c r="M88" s="88">
        <f>(HTBar!$P$3*HTBar!$P$4*((1-COS(HTBar!$B34*PI()/180))/2))</f>
        <v>0.35895463430637725</v>
      </c>
    </row>
    <row r="89" spans="1:13" x14ac:dyDescent="0.25">
      <c r="A89" s="87" t="str">
        <f>"HTGround at Beta = " &amp; HTBar!B35</f>
        <v>HTGround at Beta = 72</v>
      </c>
      <c r="B89" s="88">
        <f>(HTBar!$E$3*HTBar!$E$4*((1-COS(HTBar!$B35*PI()/180))/2))</f>
        <v>0.55521866467984227</v>
      </c>
      <c r="C89" s="88">
        <f>(HTBar!$F$3*HTBar!$F$4*((1-COS(HTBar!$B35*PI()/180))/2))</f>
        <v>0.81840027186231246</v>
      </c>
      <c r="D89" s="88">
        <f>(HTBar!$G$3*HTBar!$G$4*((1-COS(HTBar!$B35*PI()/180))/2))</f>
        <v>1.3320770382439762</v>
      </c>
      <c r="E89" s="88">
        <f>(HTBar!$H$3*HTBar!$H$4*((1-COS(HTBar!$B35*PI()/180))/2))</f>
        <v>1.3880466616996059</v>
      </c>
      <c r="F89" s="88">
        <f>(HTBar!$I$3*HTBar!$I$4*((1-COS(HTBar!$B35*PI()/180))/2))</f>
        <v>0.56753198184008069</v>
      </c>
      <c r="G89" s="88">
        <f>(HTBar!$J$3*HTBar!$J$4*((1-COS(HTBar!$B35*PI()/180))/2))</f>
        <v>0.67909809792830167</v>
      </c>
      <c r="H89" s="88">
        <f>(HTBar!$K$3*HTBar!$K$4*((1-COS(HTBar!$B35*PI()/180))/2))</f>
        <v>0.61815339683217208</v>
      </c>
      <c r="I89" s="88">
        <f>(HTBar!$L$3*HTBar!$L$4*((1-COS(HTBar!$B35*PI()/180))/2))</f>
        <v>0.49924904122421299</v>
      </c>
      <c r="J89" s="88">
        <f>(HTBar!$M$3*HTBar!$M$4*((1-COS(HTBar!$B35*PI()/180))/2))</f>
        <v>0.40173751947040559</v>
      </c>
      <c r="K89" s="88">
        <f>(HTBar!$N$3*HTBar!$N$4*((1-COS(HTBar!$B35*PI()/180))/2))</f>
        <v>0.21828153147695406</v>
      </c>
      <c r="L89" s="88">
        <f>(HTBar!$O$3*HTBar!$O$4*((1-COS(HTBar!$B35*PI()/180))/2))</f>
        <v>0.34216096472541352</v>
      </c>
      <c r="M89" s="88">
        <f>(HTBar!$P$3*HTBar!$P$4*((1-COS(HTBar!$B35*PI()/180))/2))</f>
        <v>0.38656353266687948</v>
      </c>
    </row>
    <row r="90" spans="1:13" x14ac:dyDescent="0.25">
      <c r="A90" s="87" t="str">
        <f>"HTGround at Beta = " &amp; HTBar!B36</f>
        <v>HTGround at Beta = 75</v>
      </c>
      <c r="B90" s="88">
        <f>(HTBar!$E$3*HTBar!$E$4*((1-COS(HTBar!$B36*PI()/180))/2))</f>
        <v>0.59555372087922254</v>
      </c>
      <c r="C90" s="88">
        <f>(HTBar!$F$3*HTBar!$F$4*((1-COS(HTBar!$B36*PI()/180))/2))</f>
        <v>0.87785472298057465</v>
      </c>
      <c r="D90" s="88">
        <f>(HTBar!$G$3*HTBar!$G$4*((1-COS(HTBar!$B36*PI()/180))/2))</f>
        <v>1.4288486448513604</v>
      </c>
      <c r="E90" s="88">
        <f>(HTBar!$H$3*HTBar!$H$4*((1-COS(HTBar!$B36*PI()/180))/2))</f>
        <v>1.4888843021980567</v>
      </c>
      <c r="F90" s="88">
        <f>(HTBar!$I$3*HTBar!$I$4*((1-COS(HTBar!$B36*PI()/180))/2))</f>
        <v>0.60876156549549565</v>
      </c>
      <c r="G90" s="88">
        <f>(HTBar!$J$3*HTBar!$J$4*((1-COS(HTBar!$B36*PI()/180))/2))</f>
        <v>0.72843264247324258</v>
      </c>
      <c r="H90" s="88">
        <f>(HTBar!$K$3*HTBar!$K$4*((1-COS(HTBar!$B36*PI()/180))/2))</f>
        <v>0.663060482251285</v>
      </c>
      <c r="I90" s="88">
        <f>(HTBar!$L$3*HTBar!$L$4*((1-COS(HTBar!$B36*PI()/180))/2))</f>
        <v>0.53551806353252673</v>
      </c>
      <c r="J90" s="88">
        <f>(HTBar!$M$3*HTBar!$M$4*((1-COS(HTBar!$B36*PI()/180))/2))</f>
        <v>0.43092260717739445</v>
      </c>
      <c r="K90" s="88">
        <f>(HTBar!$N$3*HTBar!$N$4*((1-COS(HTBar!$B36*PI()/180))/2))</f>
        <v>0.23413906365211368</v>
      </c>
      <c r="L90" s="88">
        <f>(HTBar!$O$3*HTBar!$O$4*((1-COS(HTBar!$B36*PI()/180))/2))</f>
        <v>0.36701798524613377</v>
      </c>
      <c r="M90" s="88">
        <f>(HTBar!$P$3*HTBar!$P$4*((1-COS(HTBar!$B36*PI()/180))/2))</f>
        <v>0.41464627340784593</v>
      </c>
    </row>
    <row r="91" spans="1:13" x14ac:dyDescent="0.25">
      <c r="A91" s="92" t="str">
        <f>"HTGround at Beta = " &amp; HTBar!B37</f>
        <v>HTGround at Beta = 78</v>
      </c>
      <c r="B91" s="88">
        <f>(HTBar!$E$3*HTBar!$E$4*((1-COS(HTBar!$B37*PI()/180))/2))</f>
        <v>0.63645879819411399</v>
      </c>
      <c r="C91" s="88">
        <f>(HTBar!$F$3*HTBar!$F$4*((1-COS(HTBar!$B37*PI()/180))/2))</f>
        <v>0.93814939339544601</v>
      </c>
      <c r="D91" s="88">
        <f>(HTBar!$G$3*HTBar!$G$4*((1-COS(HTBar!$B37*PI()/180))/2))</f>
        <v>1.5269878424415233</v>
      </c>
      <c r="E91" s="88">
        <f>(HTBar!$H$3*HTBar!$H$4*((1-COS(HTBar!$B37*PI()/180))/2))</f>
        <v>1.5911469954852853</v>
      </c>
      <c r="F91" s="88">
        <f>(HTBar!$I$3*HTBar!$I$4*((1-COS(HTBar!$B37*PI()/180))/2))</f>
        <v>0.65057381186374152</v>
      </c>
      <c r="G91" s="88">
        <f>(HTBar!$J$3*HTBar!$J$4*((1-COS(HTBar!$B37*PI()/180))/2))</f>
        <v>0.77846439026430603</v>
      </c>
      <c r="H91" s="88">
        <f>(HTBar!$K$3*HTBar!$K$4*((1-COS(HTBar!$B37*PI()/180))/2))</f>
        <v>0.70860220139443253</v>
      </c>
      <c r="I91" s="88">
        <f>(HTBar!$L$3*HTBar!$L$4*((1-COS(HTBar!$B37*PI()/180))/2))</f>
        <v>0.57229964515035248</v>
      </c>
      <c r="J91" s="88">
        <f>(HTBar!$M$3*HTBar!$M$4*((1-COS(HTBar!$B37*PI()/180))/2))</f>
        <v>0.4605201429585547</v>
      </c>
      <c r="K91" s="88">
        <f>(HTBar!$N$3*HTBar!$N$4*((1-COS(HTBar!$B37*PI()/180))/2))</f>
        <v>0.25022069687066978</v>
      </c>
      <c r="L91" s="88">
        <f>(HTBar!$O$3*HTBar!$O$4*((1-COS(HTBar!$B37*PI()/180))/2))</f>
        <v>0.39222628894086192</v>
      </c>
      <c r="M91" s="88">
        <f>(HTBar!$P$3*HTBar!$P$4*((1-COS(HTBar!$B37*PI()/180))/2))</f>
        <v>0.44312588368891281</v>
      </c>
    </row>
    <row r="92" spans="1:13" x14ac:dyDescent="0.25">
      <c r="A92" s="92" t="str">
        <f>"HTGround at Beta = " &amp; HTBar!B38</f>
        <v>HTGround at Beta = 81</v>
      </c>
      <c r="B92" s="88">
        <f>(HTBar!$E$3*HTBar!$E$4*((1-COS(HTBar!$B38*PI()/180))/2))</f>
        <v>0.67782177865087367</v>
      </c>
      <c r="C92" s="88">
        <f>(HTBar!$F$3*HTBar!$F$4*((1-COS(HTBar!$B38*PI()/180))/2))</f>
        <v>0.99911901960635074</v>
      </c>
      <c r="D92" s="88">
        <f>(HTBar!$G$3*HTBar!$G$4*((1-COS(HTBar!$B38*PI()/180))/2))</f>
        <v>1.6262256382954428</v>
      </c>
      <c r="E92" s="88">
        <f>(HTBar!$H$3*HTBar!$H$4*((1-COS(HTBar!$B38*PI()/180))/2))</f>
        <v>1.6945544466271845</v>
      </c>
      <c r="F92" s="88">
        <f>(HTBar!$I$3*HTBar!$I$4*((1-COS(HTBar!$B38*PI()/180))/2))</f>
        <v>0.69285411648385675</v>
      </c>
      <c r="G92" s="88">
        <f>(HTBar!$J$3*HTBar!$J$4*((1-COS(HTBar!$B38*PI()/180))/2))</f>
        <v>0.82905620775846101</v>
      </c>
      <c r="H92" s="88">
        <f>(HTBar!$K$3*HTBar!$K$4*((1-COS(HTBar!$B38*PI()/180))/2))</f>
        <v>0.75465372757500948</v>
      </c>
      <c r="I92" s="88">
        <f>(HTBar!$L$3*HTBar!$L$4*((1-COS(HTBar!$B38*PI()/180))/2))</f>
        <v>0.60949297031913241</v>
      </c>
      <c r="J92" s="88">
        <f>(HTBar!$M$3*HTBar!$M$4*((1-COS(HTBar!$B38*PI()/180))/2))</f>
        <v>0.49044900202560976</v>
      </c>
      <c r="K92" s="88">
        <f>(HTBar!$N$3*HTBar!$N$4*((1-COS(HTBar!$B38*PI()/180))/2))</f>
        <v>0.26648235249379099</v>
      </c>
      <c r="L92" s="88">
        <f>(HTBar!$O$3*HTBar!$O$4*((1-COS(HTBar!$B38*PI()/180))/2))</f>
        <v>0.41771678160137843</v>
      </c>
      <c r="M92" s="88">
        <f>(HTBar!$P$3*HTBar!$P$4*((1-COS(HTBar!$B38*PI()/180))/2))</f>
        <v>0.47192430287789333</v>
      </c>
    </row>
    <row r="93" spans="1:13" x14ac:dyDescent="0.25">
      <c r="A93" s="92" t="str">
        <f>"HTGround at Beta = " &amp; HTBar!B39</f>
        <v>HTGround at Beta = 84</v>
      </c>
      <c r="B93" s="88">
        <f>(HTBar!$E$3*HTBar!$E$4*((1-COS(HTBar!$B39*PI()/180))/2))</f>
        <v>0.71952928919517511</v>
      </c>
      <c r="C93" s="88">
        <f>(HTBar!$F$3*HTBar!$F$4*((1-COS(HTBar!$B39*PI()/180))/2))</f>
        <v>1.0605964881057917</v>
      </c>
      <c r="D93" s="88">
        <f>(HTBar!$G$3*HTBar!$G$4*((1-COS(HTBar!$B39*PI()/180))/2))</f>
        <v>1.7262900285126177</v>
      </c>
      <c r="E93" s="88">
        <f>(HTBar!$H$3*HTBar!$H$4*((1-COS(HTBar!$B39*PI()/180))/2))</f>
        <v>1.7988232229879382</v>
      </c>
      <c r="F93" s="88">
        <f>(HTBar!$I$3*HTBar!$I$4*((1-COS(HTBar!$B39*PI()/180))/2))</f>
        <v>0.73548659197974564</v>
      </c>
      <c r="G93" s="88">
        <f>(HTBar!$J$3*HTBar!$J$4*((1-COS(HTBar!$B39*PI()/180))/2))</f>
        <v>0.88006942630055018</v>
      </c>
      <c r="H93" s="88">
        <f>(HTBar!$K$3*HTBar!$K$4*((1-COS(HTBar!$B39*PI()/180))/2))</f>
        <v>0.80108883676075726</v>
      </c>
      <c r="I93" s="88">
        <f>(HTBar!$L$3*HTBar!$L$4*((1-COS(HTBar!$B39*PI()/180))/2))</f>
        <v>0.64699609471985509</v>
      </c>
      <c r="J93" s="88">
        <f>(HTBar!$M$3*HTBar!$M$4*((1-COS(HTBar!$B39*PI()/180))/2))</f>
        <v>0.52062715145618632</v>
      </c>
      <c r="K93" s="88">
        <f>(HTBar!$N$3*HTBar!$N$4*((1-COS(HTBar!$B39*PI()/180))/2))</f>
        <v>0.28287945845374823</v>
      </c>
      <c r="L93" s="88">
        <f>(HTBar!$O$3*HTBar!$O$4*((1-COS(HTBar!$B39*PI()/180))/2))</f>
        <v>0.44341959555912341</v>
      </c>
      <c r="M93" s="88">
        <f>(HTBar!$P$3*HTBar!$P$4*((1-COS(HTBar!$B39*PI()/180))/2))</f>
        <v>0.50096259650954411</v>
      </c>
    </row>
    <row r="94" spans="1:13" x14ac:dyDescent="0.25">
      <c r="A94" s="92" t="str">
        <f>"HTGround at Beta = " &amp; HTBar!B40</f>
        <v>HTGround at Beta = 87</v>
      </c>
      <c r="B94" s="88">
        <f>(HTBar!$E$3*HTBar!$E$4*((1-COS(HTBar!$B40*PI()/180))/2))</f>
        <v>0.76146701243966963</v>
      </c>
      <c r="C94" s="88">
        <f>(HTBar!$F$3*HTBar!$F$4*((1-COS(HTBar!$B40*PI()/180))/2))</f>
        <v>1.1224132934258575</v>
      </c>
      <c r="D94" s="88">
        <f>(HTBar!$G$3*HTBar!$G$4*((1-COS(HTBar!$B40*PI()/180))/2))</f>
        <v>1.8269067435548525</v>
      </c>
      <c r="E94" s="88">
        <f>(HTBar!$H$3*HTBar!$H$4*((1-COS(HTBar!$B40*PI()/180))/2))</f>
        <v>1.9036675310991744</v>
      </c>
      <c r="F94" s="88">
        <f>(HTBar!$I$3*HTBar!$I$4*((1-COS(HTBar!$B40*PI()/180))/2))</f>
        <v>0.7783543856994205</v>
      </c>
      <c r="G94" s="88">
        <f>(HTBar!$J$3*HTBar!$J$4*((1-COS(HTBar!$B40*PI()/180))/2))</f>
        <v>0.93136422220443471</v>
      </c>
      <c r="H94" s="88">
        <f>(HTBar!$K$3*HTBar!$K$4*((1-COS(HTBar!$B40*PI()/180))/2))</f>
        <v>0.84778025354506237</v>
      </c>
      <c r="I94" s="88">
        <f>(HTBar!$L$3*HTBar!$L$4*((1-COS(HTBar!$B40*PI()/180))/2))</f>
        <v>0.68470622489534816</v>
      </c>
      <c r="J94" s="88">
        <f>(HTBar!$M$3*HTBar!$M$4*((1-COS(HTBar!$B40*PI()/180))/2))</f>
        <v>0.55097187504035239</v>
      </c>
      <c r="K94" s="88">
        <f>(HTBar!$N$3*HTBar!$N$4*((1-COS(HTBar!$B40*PI()/180))/2))</f>
        <v>0.29936707142285396</v>
      </c>
      <c r="L94" s="88">
        <f>(HTBar!$O$3*HTBar!$O$4*((1-COS(HTBar!$B40*PI()/180))/2))</f>
        <v>0.46926428118761904</v>
      </c>
      <c r="M94" s="88">
        <f>(HTBar!$P$3*HTBar!$P$4*((1-COS(HTBar!$B40*PI()/180))/2))</f>
        <v>0.53016117263944762</v>
      </c>
    </row>
    <row r="95" spans="1:13" x14ac:dyDescent="0.25">
      <c r="A95" s="92" t="str">
        <f>"HTGround at Beta = " &amp; HTBar!B41</f>
        <v>HTGround at Beta = 90</v>
      </c>
      <c r="B95" s="88">
        <f>(HTBar!$E$3*HTBar!$E$4*((1-COS(HTBar!$B41*PI()/180))/2))</f>
        <v>0.8035199999999999</v>
      </c>
      <c r="C95" s="88">
        <f>(HTBar!$F$3*HTBar!$F$4*((1-COS(HTBar!$B41*PI()/180))/2))</f>
        <v>1.1844000000000001</v>
      </c>
      <c r="D95" s="88">
        <f>(HTBar!$G$3*HTBar!$G$4*((1-COS(HTBar!$B41*PI()/180))/2))</f>
        <v>1.9277999999999997</v>
      </c>
      <c r="E95" s="88">
        <f>(HTBar!$H$3*HTBar!$H$4*((1-COS(HTBar!$B41*PI()/180))/2))</f>
        <v>2.0087999999999999</v>
      </c>
      <c r="F95" s="88">
        <f>(HTBar!$I$3*HTBar!$I$4*((1-COS(HTBar!$B41*PI()/180))/2))</f>
        <v>0.82133999999999996</v>
      </c>
      <c r="G95" s="88">
        <f>(HTBar!$J$3*HTBar!$J$4*((1-COS(HTBar!$B41*PI()/180))/2))</f>
        <v>0.9827999999999999</v>
      </c>
      <c r="H95" s="88">
        <f>(HTBar!$K$3*HTBar!$K$4*((1-COS(HTBar!$B41*PI()/180))/2))</f>
        <v>0.89459999999999995</v>
      </c>
      <c r="I95" s="88">
        <f>(HTBar!$L$3*HTBar!$L$4*((1-COS(HTBar!$B41*PI()/180))/2))</f>
        <v>0.72251999999999994</v>
      </c>
      <c r="J95" s="88">
        <f>(HTBar!$M$3*HTBar!$M$4*((1-COS(HTBar!$B41*PI()/180))/2))</f>
        <v>0.58139999999999992</v>
      </c>
      <c r="K95" s="88">
        <f>(HTBar!$N$3*HTBar!$N$4*((1-COS(HTBar!$B41*PI()/180))/2))</f>
        <v>0.3158999999999999</v>
      </c>
      <c r="L95" s="88">
        <f>(HTBar!$O$3*HTBar!$O$4*((1-COS(HTBar!$B41*PI()/180))/2))</f>
        <v>0.49517999999999995</v>
      </c>
      <c r="M95" s="88">
        <f>(HTBar!$P$3*HTBar!$P$4*((1-COS(HTBar!$B41*PI()/180))/2))</f>
        <v>0.55944000000000005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4A50-7B12-4807-8B09-ADED14D18932}">
  <dimension ref="A1:AK174"/>
  <sheetViews>
    <sheetView zoomScaleNormal="100" workbookViewId="0">
      <pane ySplit="1" topLeftCell="A152" activePane="bottomLeft" state="frozen"/>
      <selection activeCell="I1" sqref="I1"/>
      <selection pane="bottomLeft" activeCell="O163" sqref="O163"/>
    </sheetView>
  </sheetViews>
  <sheetFormatPr defaultRowHeight="15" x14ac:dyDescent="0.25"/>
  <cols>
    <col min="1" max="1" width="10.7109375" style="11" bestFit="1" customWidth="1"/>
    <col min="2" max="2" width="11.7109375" style="11" bestFit="1" customWidth="1"/>
    <col min="3" max="5" width="14.85546875" style="11" bestFit="1" customWidth="1"/>
    <col min="6" max="10" width="14.85546875" style="11" customWidth="1"/>
    <col min="11" max="11" width="12.7109375" style="11" bestFit="1" customWidth="1"/>
    <col min="12" max="13" width="12" style="11" bestFit="1" customWidth="1"/>
    <col min="14" max="14" width="11" style="11" bestFit="1" customWidth="1"/>
    <col min="15" max="15" width="15.85546875" style="11" bestFit="1" customWidth="1"/>
    <col min="16" max="17" width="14" style="11" bestFit="1" customWidth="1"/>
    <col min="18" max="18" width="20.140625" style="19" customWidth="1"/>
    <col min="19" max="19" width="20.140625" style="11" customWidth="1"/>
    <col min="20" max="20" width="11.7109375" style="11" bestFit="1" customWidth="1"/>
    <col min="21" max="22" width="12" style="11" bestFit="1" customWidth="1"/>
    <col min="23" max="23" width="9.140625" style="11"/>
    <col min="24" max="25" width="12" style="11" bestFit="1" customWidth="1"/>
    <col min="26" max="33" width="9.140625" style="11"/>
    <col min="34" max="34" width="9.5703125" style="11" bestFit="1" customWidth="1"/>
    <col min="35" max="16384" width="9.140625" style="11"/>
  </cols>
  <sheetData>
    <row r="1" spans="1:35" x14ac:dyDescent="0.25">
      <c r="A1" s="15" t="s">
        <v>53</v>
      </c>
      <c r="B1" s="18" t="s">
        <v>6</v>
      </c>
      <c r="C1" s="18" t="s">
        <v>54</v>
      </c>
      <c r="D1" s="18" t="s">
        <v>73</v>
      </c>
      <c r="E1" s="18" t="s">
        <v>74</v>
      </c>
      <c r="F1" s="18" t="s">
        <v>75</v>
      </c>
      <c r="G1" s="18" t="s">
        <v>76</v>
      </c>
      <c r="H1" s="18" t="s">
        <v>77</v>
      </c>
      <c r="I1" s="18" t="s">
        <v>27</v>
      </c>
      <c r="J1" s="18" t="s">
        <v>21</v>
      </c>
      <c r="K1" s="18" t="s">
        <v>22</v>
      </c>
      <c r="L1" s="16" t="s">
        <v>68</v>
      </c>
      <c r="M1" s="10" t="s">
        <v>67</v>
      </c>
      <c r="N1" s="30" t="s">
        <v>50</v>
      </c>
      <c r="O1" s="31" t="s">
        <v>69</v>
      </c>
      <c r="P1" s="31" t="s">
        <v>56</v>
      </c>
      <c r="Q1" s="51" t="s">
        <v>78</v>
      </c>
      <c r="R1" s="61" t="s">
        <v>80</v>
      </c>
      <c r="S1" s="57" t="s">
        <v>35</v>
      </c>
      <c r="T1" s="3"/>
      <c r="AI1" s="11" t="s">
        <v>70</v>
      </c>
    </row>
    <row r="2" spans="1:35" x14ac:dyDescent="0.25">
      <c r="A2" s="122">
        <v>1</v>
      </c>
      <c r="B2" s="118" t="s">
        <v>55</v>
      </c>
      <c r="C2" s="118">
        <v>64.357071680080139</v>
      </c>
      <c r="D2" s="118">
        <f>0.409+0.5016*(SIN(RADIANS(C2-60)))</f>
        <v>0.44710754232677741</v>
      </c>
      <c r="E2" s="118">
        <f>0.6609-0.4767*(SIN(RADIANS(C2-60)))</f>
        <v>0.62468415983418113</v>
      </c>
      <c r="F2" s="118">
        <v>72</v>
      </c>
      <c r="G2" s="108">
        <v>0.52037248333647701</v>
      </c>
      <c r="H2" s="108">
        <v>9.9620947801884139</v>
      </c>
      <c r="I2" s="108">
        <v>0.37167741520368297</v>
      </c>
      <c r="J2" s="108">
        <v>0.31</v>
      </c>
      <c r="K2" s="108">
        <v>-20.916962574476411</v>
      </c>
      <c r="L2" s="17" t="s">
        <v>37</v>
      </c>
      <c r="M2" s="12">
        <v>6.5</v>
      </c>
      <c r="N2" s="20">
        <f>15*(M2-12)</f>
        <v>-82.5</v>
      </c>
      <c r="O2" s="22">
        <f t="shared" ref="O2:O12" si="0">(PI()/24)*((COS(N2*PI()/180)-COS($C$2*PI()/180))/(SIN($C$2*PI()/180)-((PI()*$C$2/180)*COS($C$2*PI()/180))))</f>
        <v>-9.5236625902979127E-2</v>
      </c>
      <c r="P2" s="48">
        <f t="shared" ref="P2:P13" si="1">($D$2+($E$2*COS(RADIANS(N2))))*O2</f>
        <v>-5.0346383914502246E-2</v>
      </c>
      <c r="Q2" s="52">
        <f>((COS((RADIANS($AI$4)-RADIANS($F$2)))*COS(RADIANS($K$2))*COS(RADIANS(N2)))+(SIN((RADIANS($AI$4)-RADIANS($F$2)))*SIN(RADIANS($K$2))))/((COS(RADIANS($AI$4))*COS(RADIANS($K$2))*COS(RADIANS(N2)))+(SIN(RADIANS($AI$4))*SIN(RADIANS($K$2))))</f>
        <v>-1.3587409859315467</v>
      </c>
      <c r="R2" s="64" t="s">
        <v>81</v>
      </c>
      <c r="S2" s="114">
        <v>8</v>
      </c>
      <c r="T2" s="21"/>
      <c r="Y2" s="44"/>
      <c r="Z2" s="44"/>
      <c r="AA2" s="44"/>
      <c r="AH2" s="13" t="s">
        <v>71</v>
      </c>
      <c r="AI2" s="11">
        <f>PI()/24</f>
        <v>0.1308996938995747</v>
      </c>
    </row>
    <row r="3" spans="1:35" x14ac:dyDescent="0.25">
      <c r="A3" s="122"/>
      <c r="B3" s="118"/>
      <c r="C3" s="118"/>
      <c r="D3" s="118"/>
      <c r="E3" s="118"/>
      <c r="F3" s="118"/>
      <c r="G3" s="109"/>
      <c r="H3" s="109"/>
      <c r="I3" s="109"/>
      <c r="J3" s="109"/>
      <c r="K3" s="109"/>
      <c r="L3" s="17" t="s">
        <v>38</v>
      </c>
      <c r="M3" s="12">
        <v>7.5</v>
      </c>
      <c r="N3" s="20">
        <f t="shared" ref="N3:N70" si="2">15*(M3-12)</f>
        <v>-67.5</v>
      </c>
      <c r="O3" s="23">
        <f t="shared" si="0"/>
        <v>-1.5779928833177588E-2</v>
      </c>
      <c r="P3" s="49">
        <f t="shared" si="1"/>
        <v>-1.0827616259434441E-2</v>
      </c>
      <c r="Q3" s="53">
        <f t="shared" ref="Q3:Q13" si="3">((COS((RADIANS($AI$4)-RADIANS($F$2)))*COS(RADIANS($K$2))*COS(RADIANS(N3)))+(SIN((RADIANS($AI$4)-RADIANS($F$2)))*SIN(RADIANS($K$2))))/((COS(RADIANS($AI$4))*COS(RADIANS($K$2))*COS(RADIANS(N3)))+(SIN(RADIANS($AI$4))*SIN(RADIANS($K$2))))</f>
        <v>-15.178749745280387</v>
      </c>
      <c r="R3" s="65" t="s">
        <v>81</v>
      </c>
      <c r="S3" s="115"/>
      <c r="T3" s="21"/>
      <c r="Y3" s="44"/>
      <c r="Z3" s="44"/>
      <c r="AA3" s="44"/>
      <c r="AH3" s="13" t="s">
        <v>72</v>
      </c>
      <c r="AI3" s="11">
        <f>PI()/180</f>
        <v>1.7453292519943295E-2</v>
      </c>
    </row>
    <row r="4" spans="1:35" x14ac:dyDescent="0.25">
      <c r="A4" s="122"/>
      <c r="B4" s="118"/>
      <c r="C4" s="118"/>
      <c r="D4" s="118"/>
      <c r="E4" s="118"/>
      <c r="F4" s="118"/>
      <c r="G4" s="109"/>
      <c r="H4" s="109"/>
      <c r="I4" s="109"/>
      <c r="J4" s="109"/>
      <c r="K4" s="109"/>
      <c r="L4" s="17" t="s">
        <v>39</v>
      </c>
      <c r="M4" s="12">
        <v>8.5</v>
      </c>
      <c r="N4" s="20">
        <f t="shared" si="2"/>
        <v>-52.5</v>
      </c>
      <c r="O4" s="23">
        <f t="shared" si="0"/>
        <v>5.545899685909373E-2</v>
      </c>
      <c r="P4" s="49">
        <f t="shared" si="1"/>
        <v>4.5886283973645178E-2</v>
      </c>
      <c r="Q4" s="53">
        <f t="shared" si="3"/>
        <v>6.0990718232151027</v>
      </c>
      <c r="R4" s="97">
        <f>($G$2*$H$2)*(((P4-($I$2*O4))*Q4)+($I$2*O4*((1+COS(RADIANS($F$2)))/2))+($J$2*P4*((1-COS(RADIANS($F$2)))/2)))</f>
        <v>0.89450058997754023</v>
      </c>
      <c r="S4" s="115"/>
      <c r="T4" s="21"/>
      <c r="AH4" s="13" t="s">
        <v>1</v>
      </c>
      <c r="AI4" s="11">
        <v>48.55</v>
      </c>
    </row>
    <row r="5" spans="1:35" x14ac:dyDescent="0.25">
      <c r="A5" s="122"/>
      <c r="B5" s="118"/>
      <c r="C5" s="118"/>
      <c r="D5" s="118"/>
      <c r="E5" s="118"/>
      <c r="F5" s="118"/>
      <c r="G5" s="109"/>
      <c r="H5" s="109"/>
      <c r="I5" s="109"/>
      <c r="J5" s="109"/>
      <c r="K5" s="109"/>
      <c r="L5" s="17" t="s">
        <v>40</v>
      </c>
      <c r="M5" s="12">
        <v>9.5</v>
      </c>
      <c r="N5" s="20">
        <f t="shared" si="2"/>
        <v>-37.5</v>
      </c>
      <c r="O5" s="23">
        <f t="shared" si="0"/>
        <v>0.11362533611579761</v>
      </c>
      <c r="P5" s="49">
        <f t="shared" si="1"/>
        <v>0.10711492332066197</v>
      </c>
      <c r="Q5" s="53">
        <f t="shared" si="3"/>
        <v>3.6863270001652491</v>
      </c>
      <c r="R5" s="97">
        <f t="shared" ref="R5:R10" si="4">($G$2*$H$2)*(((P5-($I$2*O5))*Q5)+($I$2*O5*((1+COS(RADIANS($F$2)))/2))+($J$2*P5*((1-COS(RADIANS($F$2)))/2)))</f>
        <v>1.4426720725710798</v>
      </c>
      <c r="S5" s="115"/>
      <c r="T5" s="21"/>
      <c r="Y5" s="44"/>
      <c r="Z5" s="44"/>
      <c r="AA5" s="44"/>
      <c r="AH5" s="13"/>
    </row>
    <row r="6" spans="1:35" x14ac:dyDescent="0.25">
      <c r="A6" s="122"/>
      <c r="B6" s="118"/>
      <c r="C6" s="118"/>
      <c r="D6" s="118"/>
      <c r="E6" s="118"/>
      <c r="F6" s="118"/>
      <c r="G6" s="109"/>
      <c r="H6" s="109"/>
      <c r="I6" s="109"/>
      <c r="J6" s="109"/>
      <c r="K6" s="109"/>
      <c r="L6" s="17" t="s">
        <v>41</v>
      </c>
      <c r="M6" s="12">
        <v>10.5</v>
      </c>
      <c r="N6" s="20">
        <f t="shared" si="2"/>
        <v>-22.5</v>
      </c>
      <c r="O6" s="23">
        <f t="shared" si="0"/>
        <v>0.1547551490410102</v>
      </c>
      <c r="P6" s="49">
        <f t="shared" si="1"/>
        <v>0.15850648378476659</v>
      </c>
      <c r="Q6" s="53">
        <f t="shared" si="3"/>
        <v>3.0749300097961547</v>
      </c>
      <c r="R6" s="97">
        <f t="shared" si="4"/>
        <v>1.8929508358694243</v>
      </c>
      <c r="S6" s="115"/>
      <c r="T6" s="21"/>
      <c r="Y6" s="44"/>
      <c r="Z6" s="44"/>
      <c r="AA6" s="44"/>
      <c r="AH6" s="13"/>
    </row>
    <row r="7" spans="1:35" x14ac:dyDescent="0.25">
      <c r="A7" s="122"/>
      <c r="B7" s="118"/>
      <c r="C7" s="118"/>
      <c r="D7" s="118"/>
      <c r="E7" s="118"/>
      <c r="F7" s="118"/>
      <c r="G7" s="109"/>
      <c r="H7" s="109"/>
      <c r="I7" s="109"/>
      <c r="J7" s="109"/>
      <c r="K7" s="109"/>
      <c r="L7" s="17" t="s">
        <v>42</v>
      </c>
      <c r="M7" s="12">
        <v>11.5</v>
      </c>
      <c r="N7" s="20">
        <f t="shared" si="2"/>
        <v>-7.5</v>
      </c>
      <c r="O7" s="23">
        <f t="shared" si="0"/>
        <v>0.17604550685410791</v>
      </c>
      <c r="P7" s="49">
        <f t="shared" si="1"/>
        <v>0.18774328056155773</v>
      </c>
      <c r="Q7" s="53">
        <f t="shared" si="3"/>
        <v>2.8706622817529293</v>
      </c>
      <c r="R7" s="97">
        <f t="shared" si="4"/>
        <v>2.1464228689667415</v>
      </c>
      <c r="S7" s="115"/>
      <c r="T7" s="21"/>
      <c r="Y7" s="44"/>
      <c r="Z7" s="44"/>
      <c r="AA7" s="44"/>
      <c r="AH7" s="13"/>
    </row>
    <row r="8" spans="1:35" x14ac:dyDescent="0.25">
      <c r="A8" s="122"/>
      <c r="B8" s="118"/>
      <c r="C8" s="118"/>
      <c r="D8" s="118"/>
      <c r="E8" s="118"/>
      <c r="F8" s="118"/>
      <c r="G8" s="109"/>
      <c r="H8" s="109"/>
      <c r="I8" s="109"/>
      <c r="J8" s="109"/>
      <c r="K8" s="109"/>
      <c r="L8" s="17" t="s">
        <v>43</v>
      </c>
      <c r="M8" s="12">
        <v>12.5</v>
      </c>
      <c r="N8" s="20">
        <f t="shared" si="2"/>
        <v>7.5</v>
      </c>
      <c r="O8" s="23">
        <f t="shared" si="0"/>
        <v>0.17604550685410791</v>
      </c>
      <c r="P8" s="49">
        <f t="shared" si="1"/>
        <v>0.18774328056155773</v>
      </c>
      <c r="Q8" s="53">
        <f t="shared" si="3"/>
        <v>2.8706622817529293</v>
      </c>
      <c r="R8" s="97">
        <f t="shared" si="4"/>
        <v>2.1464228689667415</v>
      </c>
      <c r="S8" s="115"/>
      <c r="T8" s="21"/>
      <c r="Y8" s="44"/>
      <c r="Z8" s="44"/>
      <c r="AA8" s="44"/>
      <c r="AH8" s="13"/>
    </row>
    <row r="9" spans="1:35" x14ac:dyDescent="0.25">
      <c r="A9" s="122"/>
      <c r="B9" s="118"/>
      <c r="C9" s="118"/>
      <c r="D9" s="118"/>
      <c r="E9" s="118"/>
      <c r="F9" s="118"/>
      <c r="G9" s="109"/>
      <c r="H9" s="109"/>
      <c r="I9" s="109"/>
      <c r="J9" s="109"/>
      <c r="K9" s="109"/>
      <c r="L9" s="17" t="s">
        <v>44</v>
      </c>
      <c r="M9" s="12">
        <v>13.5</v>
      </c>
      <c r="N9" s="20">
        <f t="shared" si="2"/>
        <v>22.5</v>
      </c>
      <c r="O9" s="23">
        <f t="shared" si="0"/>
        <v>0.1547551490410102</v>
      </c>
      <c r="P9" s="49">
        <f t="shared" si="1"/>
        <v>0.15850648378476659</v>
      </c>
      <c r="Q9" s="53">
        <f t="shared" si="3"/>
        <v>3.0749300097961547</v>
      </c>
      <c r="R9" s="97">
        <f t="shared" si="4"/>
        <v>1.8929508358694243</v>
      </c>
      <c r="S9" s="115"/>
      <c r="T9" s="21"/>
      <c r="Y9" s="44"/>
      <c r="Z9" s="44"/>
      <c r="AA9" s="44"/>
      <c r="AH9" s="13"/>
    </row>
    <row r="10" spans="1:35" x14ac:dyDescent="0.25">
      <c r="A10" s="122"/>
      <c r="B10" s="118"/>
      <c r="C10" s="118"/>
      <c r="D10" s="118"/>
      <c r="E10" s="118"/>
      <c r="F10" s="118"/>
      <c r="G10" s="109"/>
      <c r="H10" s="109"/>
      <c r="I10" s="109"/>
      <c r="J10" s="109"/>
      <c r="K10" s="109"/>
      <c r="L10" s="17" t="s">
        <v>45</v>
      </c>
      <c r="M10" s="12">
        <v>14.5</v>
      </c>
      <c r="N10" s="20">
        <f t="shared" si="2"/>
        <v>37.5</v>
      </c>
      <c r="O10" s="23">
        <f t="shared" si="0"/>
        <v>0.11362533611579761</v>
      </c>
      <c r="P10" s="49">
        <f t="shared" si="1"/>
        <v>0.10711492332066197</v>
      </c>
      <c r="Q10" s="53">
        <f t="shared" si="3"/>
        <v>3.6863270001652491</v>
      </c>
      <c r="R10" s="97">
        <f t="shared" si="4"/>
        <v>1.4426720725710798</v>
      </c>
      <c r="S10" s="115"/>
      <c r="T10" s="21"/>
      <c r="X10" s="44"/>
      <c r="Y10" s="44"/>
      <c r="Z10" s="44"/>
      <c r="AA10" s="44"/>
      <c r="AH10" s="13"/>
    </row>
    <row r="11" spans="1:35" x14ac:dyDescent="0.25">
      <c r="A11" s="122"/>
      <c r="B11" s="118"/>
      <c r="C11" s="118"/>
      <c r="D11" s="118"/>
      <c r="E11" s="118"/>
      <c r="F11" s="118"/>
      <c r="G11" s="109"/>
      <c r="H11" s="109"/>
      <c r="I11" s="109"/>
      <c r="J11" s="109"/>
      <c r="K11" s="109"/>
      <c r="L11" s="17" t="s">
        <v>46</v>
      </c>
      <c r="M11" s="12">
        <v>15.5</v>
      </c>
      <c r="N11" s="20">
        <f t="shared" si="2"/>
        <v>52.5</v>
      </c>
      <c r="O11" s="23">
        <f t="shared" si="0"/>
        <v>5.545899685909373E-2</v>
      </c>
      <c r="P11" s="49">
        <f t="shared" si="1"/>
        <v>4.5886283973645178E-2</v>
      </c>
      <c r="Q11" s="53">
        <f t="shared" si="3"/>
        <v>6.0990718232151027</v>
      </c>
      <c r="R11" s="97">
        <f>($G$2*$H$2)*(((P11-($I$2*O11))*Q11)+($I$2*O11*((1+COS(RADIANS($F$2)))/2))+($J$2*P11*((1-COS(RADIANS($F$2)))/2)))</f>
        <v>0.89450058997754023</v>
      </c>
      <c r="S11" s="115"/>
      <c r="T11" s="21"/>
      <c r="X11" s="44"/>
      <c r="Y11" s="44"/>
      <c r="Z11" s="44"/>
      <c r="AA11" s="44"/>
      <c r="AH11" s="13"/>
    </row>
    <row r="12" spans="1:35" x14ac:dyDescent="0.25">
      <c r="A12" s="122"/>
      <c r="B12" s="118"/>
      <c r="C12" s="118"/>
      <c r="D12" s="118"/>
      <c r="E12" s="118"/>
      <c r="F12" s="118"/>
      <c r="G12" s="109"/>
      <c r="H12" s="109"/>
      <c r="I12" s="109"/>
      <c r="J12" s="109"/>
      <c r="K12" s="109"/>
      <c r="L12" s="17" t="s">
        <v>47</v>
      </c>
      <c r="M12" s="12">
        <v>16.5</v>
      </c>
      <c r="N12" s="20">
        <f t="shared" si="2"/>
        <v>67.5</v>
      </c>
      <c r="O12" s="23">
        <f t="shared" si="0"/>
        <v>-1.5779928833177588E-2</v>
      </c>
      <c r="P12" s="49">
        <f t="shared" si="1"/>
        <v>-1.0827616259434441E-2</v>
      </c>
      <c r="Q12" s="53">
        <f t="shared" si="3"/>
        <v>-15.178749745280387</v>
      </c>
      <c r="R12" s="65" t="s">
        <v>81</v>
      </c>
      <c r="S12" s="115"/>
      <c r="T12" s="21"/>
      <c r="X12" s="44"/>
      <c r="Y12" s="44"/>
      <c r="Z12" s="44"/>
      <c r="AA12" s="44"/>
      <c r="AH12" s="13"/>
    </row>
    <row r="13" spans="1:35" x14ac:dyDescent="0.25">
      <c r="A13" s="122"/>
      <c r="B13" s="118"/>
      <c r="C13" s="118"/>
      <c r="D13" s="118"/>
      <c r="E13" s="118"/>
      <c r="F13" s="118"/>
      <c r="G13" s="110"/>
      <c r="H13" s="110"/>
      <c r="I13" s="110"/>
      <c r="J13" s="110"/>
      <c r="K13" s="110"/>
      <c r="L13" s="17" t="s">
        <v>48</v>
      </c>
      <c r="M13" s="12">
        <v>17.5</v>
      </c>
      <c r="N13" s="20">
        <f t="shared" si="2"/>
        <v>82.5</v>
      </c>
      <c r="O13" s="24">
        <f>(PI()/24)*((COS(N13*PI()/180)-COS($C$2*PI()/180))/(SIN($C$2*PI()/180)-((PI()*$C$2/180)*COS($C$2*PI()/180))))</f>
        <v>-9.5236625902979127E-2</v>
      </c>
      <c r="P13" s="50">
        <f t="shared" si="1"/>
        <v>-5.0346383914502246E-2</v>
      </c>
      <c r="Q13" s="53">
        <f t="shared" si="3"/>
        <v>-1.3587409859315467</v>
      </c>
      <c r="R13" s="66" t="s">
        <v>81</v>
      </c>
      <c r="S13" s="116"/>
      <c r="T13" s="21"/>
      <c r="AH13" s="13"/>
    </row>
    <row r="14" spans="1:35" x14ac:dyDescent="0.25">
      <c r="A14" s="122">
        <v>2</v>
      </c>
      <c r="B14" s="118" t="s">
        <v>57</v>
      </c>
      <c r="C14" s="118">
        <v>74.902424284262636</v>
      </c>
      <c r="D14" s="118">
        <f>0.409+0.5016*(SIN(RADIANS(C14-60)))</f>
        <v>0.53799831888128402</v>
      </c>
      <c r="E14" s="118">
        <f>0.6609-0.4767*(SIN(RADIANS(C14-60)))</f>
        <v>0.53830530580002378</v>
      </c>
      <c r="F14" s="118">
        <v>66</v>
      </c>
      <c r="G14" s="108">
        <v>0.54569709688342094</v>
      </c>
      <c r="H14" s="108">
        <v>15.503106115675998</v>
      </c>
      <c r="I14" s="108">
        <v>0.34847729592160848</v>
      </c>
      <c r="J14" s="108">
        <v>0.28000000000000003</v>
      </c>
      <c r="K14" s="108">
        <v>-12.954608093780678</v>
      </c>
      <c r="L14" s="17" t="s">
        <v>37</v>
      </c>
      <c r="M14" s="12">
        <v>6.5</v>
      </c>
      <c r="N14" s="20">
        <f>15*(M14-12)</f>
        <v>-82.5</v>
      </c>
      <c r="O14" s="34">
        <f>(PI()/24)*((COS(N14*PI()/180)-COS($C$14*PI()/180))/(SIN($C$14*PI()/180)-((PI()*$C$14/180)*COS($C$14*PI()/180))))</f>
        <v>-2.7214862254380096E-2</v>
      </c>
      <c r="P14" s="45">
        <f t="shared" ref="P14:P25" si="5">($D$14+($E$14*COS(RADIANS(N14))))*O14</f>
        <v>-1.6553746424604627E-2</v>
      </c>
      <c r="Q14" s="37">
        <f t="shared" ref="Q14:Q25" si="6">((COS((RADIANS($AI$4)-RADIANS($F$14)))*COS(RADIANS($K$14))*COS(RADIANS(N14)))+(SIN((RADIANS($AI$4)-RADIANS($F$14)))*SIN(RADIANS($K$14))))/((COS(RADIANS($AI$4))*COS(RADIANS($K$14))*COS(RADIANS(N14)))+(SIN(RADIANS($AI$4))*SIN(RADIANS($K$14))))</f>
        <v>-2.2496316297166294</v>
      </c>
      <c r="R14" s="62" t="s">
        <v>81</v>
      </c>
      <c r="S14" s="114">
        <v>10</v>
      </c>
      <c r="T14" s="60"/>
    </row>
    <row r="15" spans="1:35" x14ac:dyDescent="0.25">
      <c r="A15" s="122">
        <v>3</v>
      </c>
      <c r="B15" s="118" t="s">
        <v>58</v>
      </c>
      <c r="C15" s="118"/>
      <c r="D15" s="118"/>
      <c r="E15" s="118"/>
      <c r="F15" s="118"/>
      <c r="G15" s="109"/>
      <c r="H15" s="109"/>
      <c r="I15" s="109"/>
      <c r="J15" s="109"/>
      <c r="K15" s="109"/>
      <c r="L15" s="17" t="s">
        <v>38</v>
      </c>
      <c r="M15" s="12">
        <v>7.5</v>
      </c>
      <c r="N15" s="20">
        <f t="shared" si="2"/>
        <v>-67.5</v>
      </c>
      <c r="O15" s="35">
        <f t="shared" ref="O15:O25" si="7">(PI()/24)*((COS(N15*PI()/180)-COS($C$14*PI()/180))/(SIN($C$14*PI()/180)-((PI()*$C$14/180)*COS($C$14*PI()/180))))</f>
        <v>2.559842402890649E-2</v>
      </c>
      <c r="P15" s="46">
        <f t="shared" si="5"/>
        <v>1.904519780804155E-2</v>
      </c>
      <c r="Q15" s="38">
        <f t="shared" si="6"/>
        <v>5.3649473631124724</v>
      </c>
      <c r="R15" s="98">
        <f>($G$14*$H$14)*(((P15-($I$14*O15))*Q15)+($I$14*O15*((1+COS(RADIANS($F$14)))/2))+($J$14*P15*((1-COS(RADIANS($F$14)))/2)))</f>
        <v>0.52599918208058849</v>
      </c>
      <c r="S15" s="115"/>
      <c r="T15" s="21"/>
    </row>
    <row r="16" spans="1:35" x14ac:dyDescent="0.25">
      <c r="A16" s="122">
        <v>4</v>
      </c>
      <c r="B16" s="118" t="s">
        <v>59</v>
      </c>
      <c r="C16" s="118"/>
      <c r="D16" s="118"/>
      <c r="E16" s="118"/>
      <c r="F16" s="118"/>
      <c r="G16" s="109"/>
      <c r="H16" s="109"/>
      <c r="I16" s="109"/>
      <c r="J16" s="109"/>
      <c r="K16" s="109"/>
      <c r="L16" s="17" t="s">
        <v>39</v>
      </c>
      <c r="M16" s="12">
        <v>8.5</v>
      </c>
      <c r="N16" s="20">
        <f t="shared" si="2"/>
        <v>-52.5</v>
      </c>
      <c r="O16" s="35">
        <f t="shared" si="7"/>
        <v>7.2949521115090746E-2</v>
      </c>
      <c r="P16" s="46">
        <f t="shared" si="5"/>
        <v>6.3152241843136017E-2</v>
      </c>
      <c r="Q16" s="38">
        <f t="shared" si="6"/>
        <v>2.8180206692140981</v>
      </c>
      <c r="R16" s="98">
        <f>($G$14*$H$14)*(((P16-($I$14*O16))*Q16)+($I$14*O16*((1+COS(RADIANS($F$14)))/2))+($J$14*P16*((1-COS(RADIANS($F$14)))/2)))</f>
        <v>1.0951676461224886</v>
      </c>
      <c r="S16" s="115"/>
      <c r="T16" s="21"/>
    </row>
    <row r="17" spans="1:25" x14ac:dyDescent="0.25">
      <c r="A17" s="122">
        <v>5</v>
      </c>
      <c r="B17" s="118" t="s">
        <v>11</v>
      </c>
      <c r="C17" s="118"/>
      <c r="D17" s="118"/>
      <c r="E17" s="118"/>
      <c r="F17" s="118"/>
      <c r="G17" s="109"/>
      <c r="H17" s="109"/>
      <c r="I17" s="109"/>
      <c r="J17" s="109"/>
      <c r="K17" s="109"/>
      <c r="L17" s="17" t="s">
        <v>40</v>
      </c>
      <c r="M17" s="12">
        <v>9.5</v>
      </c>
      <c r="N17" s="20">
        <f t="shared" si="2"/>
        <v>-37.5</v>
      </c>
      <c r="O17" s="35">
        <f t="shared" si="7"/>
        <v>0.111611529989137</v>
      </c>
      <c r="P17" s="46">
        <f t="shared" si="5"/>
        <v>0.10771234004161559</v>
      </c>
      <c r="Q17" s="38">
        <f t="shared" si="6"/>
        <v>2.3410683303108959</v>
      </c>
      <c r="R17" s="98">
        <f t="shared" ref="R17:R24" si="8">($G$14*$H$14)*(((P17-($I$14*O17))*Q17)+($I$14*O17*((1+COS(RADIANS($F$14)))/2))+($J$14*P17*((1-COS(RADIANS($F$14)))/2)))</f>
        <v>1.6701000709052642</v>
      </c>
      <c r="S17" s="115"/>
      <c r="T17" s="21"/>
    </row>
    <row r="18" spans="1:25" x14ac:dyDescent="0.25">
      <c r="A18" s="122">
        <v>6</v>
      </c>
      <c r="B18" s="118" t="s">
        <v>60</v>
      </c>
      <c r="C18" s="118"/>
      <c r="D18" s="118"/>
      <c r="E18" s="118"/>
      <c r="F18" s="118"/>
      <c r="G18" s="109"/>
      <c r="H18" s="109"/>
      <c r="I18" s="109"/>
      <c r="J18" s="109"/>
      <c r="K18" s="109"/>
      <c r="L18" s="17" t="s">
        <v>41</v>
      </c>
      <c r="M18" s="12">
        <v>10.5</v>
      </c>
      <c r="N18" s="20">
        <f t="shared" si="2"/>
        <v>-22.5</v>
      </c>
      <c r="O18" s="35">
        <f t="shared" si="7"/>
        <v>0.13894969863826959</v>
      </c>
      <c r="P18" s="46">
        <f t="shared" si="5"/>
        <v>0.14385845428138297</v>
      </c>
      <c r="Q18" s="38">
        <f t="shared" si="6"/>
        <v>2.1640065522585279</v>
      </c>
      <c r="R18" s="98">
        <f t="shared" si="8"/>
        <v>2.1364357506812901</v>
      </c>
      <c r="S18" s="115"/>
      <c r="T18" s="21"/>
    </row>
    <row r="19" spans="1:25" x14ac:dyDescent="0.25">
      <c r="A19" s="122">
        <v>7</v>
      </c>
      <c r="B19" s="118" t="s">
        <v>61</v>
      </c>
      <c r="C19" s="118"/>
      <c r="D19" s="118"/>
      <c r="E19" s="118"/>
      <c r="F19" s="118"/>
      <c r="G19" s="109"/>
      <c r="H19" s="109"/>
      <c r="I19" s="109"/>
      <c r="J19" s="109"/>
      <c r="K19" s="109"/>
      <c r="L19" s="17" t="s">
        <v>42</v>
      </c>
      <c r="M19" s="12">
        <v>11.5</v>
      </c>
      <c r="N19" s="20">
        <f t="shared" si="2"/>
        <v>-7.5</v>
      </c>
      <c r="O19" s="35">
        <f t="shared" si="7"/>
        <v>0.15310097604750991</v>
      </c>
      <c r="P19" s="46">
        <f t="shared" si="5"/>
        <v>0.16407806313286802</v>
      </c>
      <c r="Q19" s="38">
        <f t="shared" si="6"/>
        <v>2.0971902942819303</v>
      </c>
      <c r="R19" s="98">
        <f t="shared" si="8"/>
        <v>2.3972868800437515</v>
      </c>
      <c r="S19" s="115"/>
      <c r="T19" s="32"/>
      <c r="X19" s="13"/>
    </row>
    <row r="20" spans="1:25" x14ac:dyDescent="0.25">
      <c r="A20" s="122">
        <v>8</v>
      </c>
      <c r="B20" s="118" t="s">
        <v>62</v>
      </c>
      <c r="C20" s="118"/>
      <c r="D20" s="118"/>
      <c r="E20" s="118"/>
      <c r="F20" s="118"/>
      <c r="G20" s="109"/>
      <c r="H20" s="109"/>
      <c r="I20" s="109"/>
      <c r="J20" s="109"/>
      <c r="K20" s="109"/>
      <c r="L20" s="17" t="s">
        <v>43</v>
      </c>
      <c r="M20" s="12">
        <v>12.5</v>
      </c>
      <c r="N20" s="20">
        <f t="shared" si="2"/>
        <v>7.5</v>
      </c>
      <c r="O20" s="35">
        <f t="shared" si="7"/>
        <v>0.15310097604750991</v>
      </c>
      <c r="P20" s="46">
        <f t="shared" si="5"/>
        <v>0.16407806313286802</v>
      </c>
      <c r="Q20" s="38">
        <f t="shared" si="6"/>
        <v>2.0971902942819303</v>
      </c>
      <c r="R20" s="98">
        <f t="shared" si="8"/>
        <v>2.3972868800437515</v>
      </c>
      <c r="S20" s="115"/>
      <c r="T20" s="32"/>
    </row>
    <row r="21" spans="1:25" x14ac:dyDescent="0.25">
      <c r="A21" s="122">
        <v>9</v>
      </c>
      <c r="B21" s="118" t="s">
        <v>63</v>
      </c>
      <c r="C21" s="118"/>
      <c r="D21" s="118"/>
      <c r="E21" s="118"/>
      <c r="F21" s="118"/>
      <c r="G21" s="109"/>
      <c r="H21" s="109"/>
      <c r="I21" s="109"/>
      <c r="J21" s="109"/>
      <c r="K21" s="109"/>
      <c r="L21" s="17" t="s">
        <v>44</v>
      </c>
      <c r="M21" s="12">
        <v>13.5</v>
      </c>
      <c r="N21" s="20">
        <f t="shared" si="2"/>
        <v>22.5</v>
      </c>
      <c r="O21" s="35">
        <f t="shared" si="7"/>
        <v>0.13894969863826959</v>
      </c>
      <c r="P21" s="46">
        <f t="shared" si="5"/>
        <v>0.14385845428138297</v>
      </c>
      <c r="Q21" s="38">
        <f t="shared" si="6"/>
        <v>2.1640065522585279</v>
      </c>
      <c r="R21" s="98">
        <f t="shared" si="8"/>
        <v>2.1364357506812901</v>
      </c>
      <c r="S21" s="115"/>
      <c r="T21" s="32"/>
    </row>
    <row r="22" spans="1:25" x14ac:dyDescent="0.25">
      <c r="A22" s="122">
        <v>10</v>
      </c>
      <c r="B22" s="118" t="s">
        <v>64</v>
      </c>
      <c r="C22" s="118"/>
      <c r="D22" s="118"/>
      <c r="E22" s="118"/>
      <c r="F22" s="118"/>
      <c r="G22" s="109"/>
      <c r="H22" s="109"/>
      <c r="I22" s="109"/>
      <c r="J22" s="109"/>
      <c r="K22" s="109"/>
      <c r="L22" s="17" t="s">
        <v>45</v>
      </c>
      <c r="M22" s="12">
        <v>14.5</v>
      </c>
      <c r="N22" s="20">
        <f t="shared" si="2"/>
        <v>37.5</v>
      </c>
      <c r="O22" s="35">
        <f t="shared" si="7"/>
        <v>0.111611529989137</v>
      </c>
      <c r="P22" s="46">
        <f t="shared" si="5"/>
        <v>0.10771234004161559</v>
      </c>
      <c r="Q22" s="38">
        <f t="shared" si="6"/>
        <v>2.3410683303108959</v>
      </c>
      <c r="R22" s="98">
        <f t="shared" si="8"/>
        <v>1.6701000709052642</v>
      </c>
      <c r="S22" s="115"/>
      <c r="T22" s="32"/>
    </row>
    <row r="23" spans="1:25" x14ac:dyDescent="0.25">
      <c r="A23" s="122">
        <v>11</v>
      </c>
      <c r="B23" s="118" t="s">
        <v>65</v>
      </c>
      <c r="C23" s="118"/>
      <c r="D23" s="118"/>
      <c r="E23" s="118"/>
      <c r="F23" s="118"/>
      <c r="G23" s="109"/>
      <c r="H23" s="109"/>
      <c r="I23" s="109"/>
      <c r="J23" s="109"/>
      <c r="K23" s="109"/>
      <c r="L23" s="17" t="s">
        <v>46</v>
      </c>
      <c r="M23" s="12">
        <v>15.5</v>
      </c>
      <c r="N23" s="20">
        <f t="shared" si="2"/>
        <v>52.5</v>
      </c>
      <c r="O23" s="35">
        <f t="shared" si="7"/>
        <v>7.2949521115090746E-2</v>
      </c>
      <c r="P23" s="46">
        <f t="shared" si="5"/>
        <v>6.3152241843136017E-2</v>
      </c>
      <c r="Q23" s="38">
        <f t="shared" si="6"/>
        <v>2.8180206692140981</v>
      </c>
      <c r="R23" s="98">
        <f t="shared" si="8"/>
        <v>1.0951676461224886</v>
      </c>
      <c r="S23" s="115"/>
      <c r="T23" s="32"/>
    </row>
    <row r="24" spans="1:25" x14ac:dyDescent="0.25">
      <c r="A24" s="122">
        <v>12</v>
      </c>
      <c r="B24" s="118" t="s">
        <v>66</v>
      </c>
      <c r="C24" s="118"/>
      <c r="D24" s="118"/>
      <c r="E24" s="118"/>
      <c r="F24" s="118"/>
      <c r="G24" s="109"/>
      <c r="H24" s="109"/>
      <c r="I24" s="109"/>
      <c r="J24" s="109"/>
      <c r="K24" s="109"/>
      <c r="L24" s="17" t="s">
        <v>47</v>
      </c>
      <c r="M24" s="12">
        <v>16.5</v>
      </c>
      <c r="N24" s="20">
        <f t="shared" si="2"/>
        <v>67.5</v>
      </c>
      <c r="O24" s="35">
        <f t="shared" si="7"/>
        <v>2.559842402890649E-2</v>
      </c>
      <c r="P24" s="46">
        <f t="shared" si="5"/>
        <v>1.904519780804155E-2</v>
      </c>
      <c r="Q24" s="38">
        <f t="shared" si="6"/>
        <v>5.3649473631124724</v>
      </c>
      <c r="R24" s="98">
        <f t="shared" si="8"/>
        <v>0.52599918208058849</v>
      </c>
      <c r="S24" s="115"/>
      <c r="T24" s="32"/>
    </row>
    <row r="25" spans="1:25" x14ac:dyDescent="0.25">
      <c r="A25" s="122"/>
      <c r="B25" s="118"/>
      <c r="C25" s="118"/>
      <c r="D25" s="118"/>
      <c r="E25" s="118"/>
      <c r="F25" s="118"/>
      <c r="G25" s="110"/>
      <c r="H25" s="110"/>
      <c r="I25" s="110"/>
      <c r="J25" s="110"/>
      <c r="K25" s="110"/>
      <c r="L25" s="17" t="s">
        <v>48</v>
      </c>
      <c r="M25" s="12">
        <v>17.5</v>
      </c>
      <c r="N25" s="20">
        <f t="shared" si="2"/>
        <v>82.5</v>
      </c>
      <c r="O25" s="36">
        <f t="shared" si="7"/>
        <v>-2.7214862254380096E-2</v>
      </c>
      <c r="P25" s="46">
        <f t="shared" si="5"/>
        <v>-1.6553746424604627E-2</v>
      </c>
      <c r="Q25" s="33">
        <f t="shared" si="6"/>
        <v>-2.2496316297166294</v>
      </c>
      <c r="R25" s="67" t="s">
        <v>81</v>
      </c>
      <c r="S25" s="116"/>
      <c r="T25" s="32"/>
    </row>
    <row r="26" spans="1:25" x14ac:dyDescent="0.25">
      <c r="A26" s="122">
        <v>3</v>
      </c>
      <c r="B26" s="118" t="s">
        <v>58</v>
      </c>
      <c r="C26" s="118">
        <v>87.259767273219694</v>
      </c>
      <c r="D26" s="118">
        <f>0.409+0.5016*(SIN(RADIANS(C26-60)))</f>
        <v>0.63874557082251271</v>
      </c>
      <c r="E26" s="118">
        <f>0.6609-0.4767*(SIN(RADIANS(C26-60)))</f>
        <v>0.44255926313578187</v>
      </c>
      <c r="F26" s="118">
        <v>51</v>
      </c>
      <c r="G26" s="108">
        <v>0.55311751350237492</v>
      </c>
      <c r="H26" s="108">
        <v>23.235568728641997</v>
      </c>
      <c r="I26" s="108">
        <v>0.37978176912533707</v>
      </c>
      <c r="J26" s="108">
        <v>0.3</v>
      </c>
      <c r="K26" s="108">
        <v>-2.4177348051423402</v>
      </c>
      <c r="L26" s="17" t="s">
        <v>37</v>
      </c>
      <c r="M26" s="12">
        <v>6.5</v>
      </c>
      <c r="N26" s="20">
        <f>15*(M26-12)</f>
        <v>-82.5</v>
      </c>
      <c r="O26" s="39">
        <f>(PI()/24)*((COS(N26*PI()/180)-COS($C$26*PI()/180))/(SIN($C$26*PI()/180)-((PI()*$C$26/180)*COS($C$26*PI()/180))))</f>
        <v>1.1692505669279702E-2</v>
      </c>
      <c r="P26" s="42">
        <f t="shared" ref="P26:P37" si="9">($D$26+($E$26*COS(RADIANS(N26))))*O26</f>
        <v>8.1439605264941265E-3</v>
      </c>
      <c r="Q26" s="43">
        <f>((COS((RADIANS($AI$4)-RADIANS($F$26)))*COS(RADIANS($K$26))*COS(RADIANS(N26)))+(SIN((RADIANS($AI$4)-RADIANS($F$26)))*SIN(RADIANS($K$26))))/((COS(RADIANS($AI$4))*COS(RADIANS($K$26))*COS(RADIANS(N26)))+(SIN(RADIANS($AI$4))*SIN(RADIANS($K$26))))</f>
        <v>2.4145296780537326</v>
      </c>
      <c r="R26" s="99">
        <f>($G$26*$H$26)*(((P26-($I$26*O26))*Q26)+($I$26*O26*((1+COS(RADIANS($F$26)))/2))+($J$26*P26*((1-COS(RADIANS($F$26)))/2)))</f>
        <v>0.16723373513831996</v>
      </c>
      <c r="S26" s="114">
        <v>12</v>
      </c>
      <c r="T26" s="21"/>
      <c r="X26" s="1"/>
      <c r="Y26" s="1"/>
    </row>
    <row r="27" spans="1:25" x14ac:dyDescent="0.25">
      <c r="A27" s="122"/>
      <c r="B27" s="118"/>
      <c r="C27" s="118"/>
      <c r="D27" s="118"/>
      <c r="E27" s="118"/>
      <c r="F27" s="118"/>
      <c r="G27" s="109"/>
      <c r="H27" s="109"/>
      <c r="I27" s="109"/>
      <c r="J27" s="109"/>
      <c r="K27" s="109"/>
      <c r="L27" s="17" t="s">
        <v>38</v>
      </c>
      <c r="M27" s="12">
        <v>7.5</v>
      </c>
      <c r="N27" s="20">
        <f t="shared" si="2"/>
        <v>-67.5</v>
      </c>
      <c r="O27" s="40">
        <f>(PI()/24)*((COS(N27*PI()/180)-COS($C$26*PI()/180))/(SIN($C$26*PI()/180)-((PI()*$C$26/180)*COS($C$26*PI()/180))))</f>
        <v>4.7335749840643281E-2</v>
      </c>
      <c r="P27" s="43">
        <f t="shared" si="9"/>
        <v>3.8252287776698063E-2</v>
      </c>
      <c r="Q27" s="43">
        <f t="shared" ref="Q27:Q37" si="10">((COS((RADIANS($AI$4)-RADIANS($F$26)))*COS(RADIANS($K$26))*COS(RADIANS(N27)))+(SIN((RADIANS($AI$4)-RADIANS($F$26)))*SIN(RADIANS($K$26))))/((COS(RADIANS($AI$4))*COS(RADIANS($K$26))*COS(RADIANS(N27)))+(SIN(RADIANS($AI$4))*SIN(RADIANS($K$26))))</f>
        <v>1.7328803348101975</v>
      </c>
      <c r="R27" s="97">
        <f t="shared" ref="R27:R37" si="11">($G$26*$H$26)*(((P27-($I$26*O27))*Q27)+($I$26*O27*((1+COS(RADIANS($F$26)))/2))+($J$26*P27*((1-COS(RADIANS($F$26)))/2)))</f>
        <v>0.66710184048057641</v>
      </c>
      <c r="S27" s="115"/>
      <c r="T27" s="21"/>
    </row>
    <row r="28" spans="1:25" x14ac:dyDescent="0.25">
      <c r="A28" s="122"/>
      <c r="B28" s="118"/>
      <c r="C28" s="118"/>
      <c r="D28" s="118"/>
      <c r="E28" s="118"/>
      <c r="F28" s="118"/>
      <c r="G28" s="109"/>
      <c r="H28" s="109"/>
      <c r="I28" s="109"/>
      <c r="J28" s="109"/>
      <c r="K28" s="109"/>
      <c r="L28" s="17" t="s">
        <v>39</v>
      </c>
      <c r="M28" s="12">
        <v>8.5</v>
      </c>
      <c r="N28" s="20">
        <f t="shared" si="2"/>
        <v>-52.5</v>
      </c>
      <c r="O28" s="40">
        <f t="shared" ref="O28:O36" si="12">(PI()/24)*((COS(N28*PI()/180)-COS($C$26*PI()/180))/(SIN($C$26*PI()/180)-((PI()*$C$26/180)*COS($C$26*PI()/180))))</f>
        <v>7.9292608313184812E-2</v>
      </c>
      <c r="P28" s="43">
        <f t="shared" si="9"/>
        <v>7.2010262591614874E-2</v>
      </c>
      <c r="Q28" s="43">
        <f t="shared" si="10"/>
        <v>1.6427600077341724</v>
      </c>
      <c r="R28" s="97">
        <f t="shared" si="11"/>
        <v>1.2512988106966341</v>
      </c>
      <c r="S28" s="115"/>
      <c r="T28" s="21"/>
      <c r="U28" s="1"/>
    </row>
    <row r="29" spans="1:25" x14ac:dyDescent="0.25">
      <c r="A29" s="122"/>
      <c r="B29" s="118"/>
      <c r="C29" s="118"/>
      <c r="D29" s="118"/>
      <c r="E29" s="118"/>
      <c r="F29" s="118"/>
      <c r="G29" s="109"/>
      <c r="H29" s="109"/>
      <c r="I29" s="109"/>
      <c r="J29" s="109"/>
      <c r="K29" s="109"/>
      <c r="L29" s="17" t="s">
        <v>40</v>
      </c>
      <c r="M29" s="12">
        <v>9.5</v>
      </c>
      <c r="N29" s="20">
        <f t="shared" si="2"/>
        <v>-37.5</v>
      </c>
      <c r="O29" s="40">
        <f t="shared" si="12"/>
        <v>0.1053852739932062</v>
      </c>
      <c r="P29" s="43">
        <f t="shared" si="9"/>
        <v>0.10431576527051732</v>
      </c>
      <c r="Q29" s="43">
        <f t="shared" si="10"/>
        <v>1.6097088663580215</v>
      </c>
      <c r="R29" s="97">
        <f t="shared" si="11"/>
        <v>1.8236681574584515</v>
      </c>
      <c r="S29" s="115"/>
      <c r="T29" s="21"/>
      <c r="U29" s="1"/>
    </row>
    <row r="30" spans="1:25" x14ac:dyDescent="0.25">
      <c r="A30" s="122"/>
      <c r="B30" s="118"/>
      <c r="C30" s="118"/>
      <c r="D30" s="118"/>
      <c r="E30" s="118"/>
      <c r="F30" s="118"/>
      <c r="G30" s="109"/>
      <c r="H30" s="109"/>
      <c r="I30" s="109"/>
      <c r="J30" s="109"/>
      <c r="K30" s="109"/>
      <c r="L30" s="17" t="s">
        <v>41</v>
      </c>
      <c r="M30" s="12">
        <v>10.5</v>
      </c>
      <c r="N30" s="20">
        <f t="shared" si="2"/>
        <v>-22.5</v>
      </c>
      <c r="O30" s="40">
        <f t="shared" si="12"/>
        <v>0.12383557483478283</v>
      </c>
      <c r="P30" s="43">
        <f t="shared" si="9"/>
        <v>0.12973225537772734</v>
      </c>
      <c r="Q30" s="43">
        <f t="shared" si="10"/>
        <v>1.5947444858172373</v>
      </c>
      <c r="R30" s="97">
        <f t="shared" si="11"/>
        <v>2.2801429117376859</v>
      </c>
      <c r="S30" s="115"/>
      <c r="T30" s="21"/>
    </row>
    <row r="31" spans="1:25" x14ac:dyDescent="0.25">
      <c r="A31" s="122"/>
      <c r="B31" s="118"/>
      <c r="C31" s="118"/>
      <c r="D31" s="118"/>
      <c r="E31" s="118"/>
      <c r="F31" s="118"/>
      <c r="G31" s="109"/>
      <c r="H31" s="109"/>
      <c r="I31" s="109"/>
      <c r="J31" s="109"/>
      <c r="K31" s="109"/>
      <c r="L31" s="17" t="s">
        <v>42</v>
      </c>
      <c r="M31" s="12">
        <v>11.5</v>
      </c>
      <c r="N31" s="20">
        <f t="shared" si="2"/>
        <v>-7.5</v>
      </c>
      <c r="O31" s="40">
        <f t="shared" si="12"/>
        <v>0.13338615332612502</v>
      </c>
      <c r="P31" s="43">
        <f t="shared" si="9"/>
        <v>0.14372607161039258</v>
      </c>
      <c r="Q31" s="43">
        <f t="shared" si="10"/>
        <v>1.5886244473678062</v>
      </c>
      <c r="R31" s="97">
        <f t="shared" si="11"/>
        <v>2.5332706431514476</v>
      </c>
      <c r="S31" s="115"/>
      <c r="T31" s="21"/>
    </row>
    <row r="32" spans="1:25" x14ac:dyDescent="0.25">
      <c r="A32" s="122"/>
      <c r="B32" s="118"/>
      <c r="C32" s="118"/>
      <c r="D32" s="118"/>
      <c r="E32" s="118"/>
      <c r="F32" s="118"/>
      <c r="G32" s="109"/>
      <c r="H32" s="109"/>
      <c r="I32" s="109"/>
      <c r="J32" s="109"/>
      <c r="K32" s="109"/>
      <c r="L32" s="17" t="s">
        <v>43</v>
      </c>
      <c r="M32" s="12">
        <v>12.5</v>
      </c>
      <c r="N32" s="20">
        <f t="shared" si="2"/>
        <v>7.5</v>
      </c>
      <c r="O32" s="40">
        <f t="shared" si="12"/>
        <v>0.13338615332612502</v>
      </c>
      <c r="P32" s="43">
        <f t="shared" si="9"/>
        <v>0.14372607161039258</v>
      </c>
      <c r="Q32" s="43">
        <f t="shared" si="10"/>
        <v>1.5886244473678062</v>
      </c>
      <c r="R32" s="97">
        <f t="shared" si="11"/>
        <v>2.5332706431514476</v>
      </c>
      <c r="S32" s="115"/>
      <c r="T32" s="21"/>
    </row>
    <row r="33" spans="1:20" x14ac:dyDescent="0.25">
      <c r="A33" s="122"/>
      <c r="B33" s="118"/>
      <c r="C33" s="118"/>
      <c r="D33" s="118"/>
      <c r="E33" s="118"/>
      <c r="F33" s="118"/>
      <c r="G33" s="109"/>
      <c r="H33" s="109"/>
      <c r="I33" s="109"/>
      <c r="J33" s="109"/>
      <c r="K33" s="109"/>
      <c r="L33" s="17" t="s">
        <v>44</v>
      </c>
      <c r="M33" s="12">
        <v>13.5</v>
      </c>
      <c r="N33" s="20">
        <f t="shared" si="2"/>
        <v>22.5</v>
      </c>
      <c r="O33" s="40">
        <f t="shared" si="12"/>
        <v>0.12383557483478283</v>
      </c>
      <c r="P33" s="43">
        <f t="shared" si="9"/>
        <v>0.12973225537772734</v>
      </c>
      <c r="Q33" s="43">
        <f t="shared" si="10"/>
        <v>1.5947444858172373</v>
      </c>
      <c r="R33" s="97">
        <f>($G$26*$H$26)*(((P33-($I$26*O33))*Q33)+($I$26*O33*((1+COS(RADIANS($F$26)))/2))+($J$26*P33*((1-COS(RADIANS($F$26)))/2)))</f>
        <v>2.2801429117376859</v>
      </c>
      <c r="S33" s="115"/>
      <c r="T33" s="21"/>
    </row>
    <row r="34" spans="1:20" x14ac:dyDescent="0.25">
      <c r="A34" s="122"/>
      <c r="B34" s="118"/>
      <c r="C34" s="118"/>
      <c r="D34" s="118"/>
      <c r="E34" s="118"/>
      <c r="F34" s="118"/>
      <c r="G34" s="109"/>
      <c r="H34" s="109"/>
      <c r="I34" s="109"/>
      <c r="J34" s="109"/>
      <c r="K34" s="109"/>
      <c r="L34" s="17" t="s">
        <v>45</v>
      </c>
      <c r="M34" s="12">
        <v>14.5</v>
      </c>
      <c r="N34" s="20">
        <f t="shared" si="2"/>
        <v>37.5</v>
      </c>
      <c r="O34" s="40">
        <f t="shared" si="12"/>
        <v>0.1053852739932062</v>
      </c>
      <c r="P34" s="43">
        <f t="shared" si="9"/>
        <v>0.10431576527051732</v>
      </c>
      <c r="Q34" s="43">
        <f t="shared" si="10"/>
        <v>1.6097088663580215</v>
      </c>
      <c r="R34" s="97">
        <f t="shared" si="11"/>
        <v>1.8236681574584515</v>
      </c>
      <c r="S34" s="115"/>
      <c r="T34" s="21"/>
    </row>
    <row r="35" spans="1:20" x14ac:dyDescent="0.25">
      <c r="A35" s="122"/>
      <c r="B35" s="118"/>
      <c r="C35" s="118"/>
      <c r="D35" s="118"/>
      <c r="E35" s="118"/>
      <c r="F35" s="118"/>
      <c r="G35" s="109"/>
      <c r="H35" s="109"/>
      <c r="I35" s="109"/>
      <c r="J35" s="109"/>
      <c r="K35" s="109"/>
      <c r="L35" s="17" t="s">
        <v>46</v>
      </c>
      <c r="M35" s="12">
        <v>15.5</v>
      </c>
      <c r="N35" s="20">
        <f t="shared" si="2"/>
        <v>52.5</v>
      </c>
      <c r="O35" s="40">
        <f t="shared" si="12"/>
        <v>7.9292608313184812E-2</v>
      </c>
      <c r="P35" s="43">
        <f t="shared" si="9"/>
        <v>7.2010262591614874E-2</v>
      </c>
      <c r="Q35" s="43">
        <f t="shared" si="10"/>
        <v>1.6427600077341724</v>
      </c>
      <c r="R35" s="97">
        <f t="shared" si="11"/>
        <v>1.2512988106966341</v>
      </c>
      <c r="S35" s="115"/>
      <c r="T35" s="21"/>
    </row>
    <row r="36" spans="1:20" x14ac:dyDescent="0.25">
      <c r="A36" s="122"/>
      <c r="B36" s="118"/>
      <c r="C36" s="118"/>
      <c r="D36" s="118"/>
      <c r="E36" s="118"/>
      <c r="F36" s="118"/>
      <c r="G36" s="109"/>
      <c r="H36" s="109"/>
      <c r="I36" s="109"/>
      <c r="J36" s="109"/>
      <c r="K36" s="109"/>
      <c r="L36" s="17" t="s">
        <v>47</v>
      </c>
      <c r="M36" s="12">
        <v>16.5</v>
      </c>
      <c r="N36" s="20">
        <f t="shared" si="2"/>
        <v>67.5</v>
      </c>
      <c r="O36" s="40">
        <f t="shared" si="12"/>
        <v>4.7335749840643281E-2</v>
      </c>
      <c r="P36" s="43">
        <f t="shared" si="9"/>
        <v>3.8252287776698063E-2</v>
      </c>
      <c r="Q36" s="43">
        <f t="shared" si="10"/>
        <v>1.7328803348101975</v>
      </c>
      <c r="R36" s="97">
        <f t="shared" si="11"/>
        <v>0.66710184048057641</v>
      </c>
      <c r="S36" s="115"/>
      <c r="T36" s="21"/>
    </row>
    <row r="37" spans="1:20" x14ac:dyDescent="0.25">
      <c r="A37" s="122"/>
      <c r="B37" s="118"/>
      <c r="C37" s="118"/>
      <c r="D37" s="118"/>
      <c r="E37" s="118"/>
      <c r="F37" s="118"/>
      <c r="G37" s="110"/>
      <c r="H37" s="110"/>
      <c r="I37" s="110"/>
      <c r="J37" s="110"/>
      <c r="K37" s="110"/>
      <c r="L37" s="17" t="s">
        <v>48</v>
      </c>
      <c r="M37" s="12">
        <v>17.5</v>
      </c>
      <c r="N37" s="20">
        <f t="shared" si="2"/>
        <v>82.5</v>
      </c>
      <c r="O37" s="41">
        <f>(PI()/24)*((COS(N37*PI()/180)-COS($C$26*PI()/180))/(SIN($C$26*PI()/180)-((PI()*$C$26/180)*COS($C$26*PI()/180))))</f>
        <v>1.1692505669279702E-2</v>
      </c>
      <c r="P37" s="29">
        <f t="shared" si="9"/>
        <v>8.1439605264941265E-3</v>
      </c>
      <c r="Q37" s="43">
        <f t="shared" si="10"/>
        <v>2.4145296780537326</v>
      </c>
      <c r="R37" s="100">
        <f t="shared" si="11"/>
        <v>0.16723373513831996</v>
      </c>
      <c r="S37" s="116"/>
      <c r="T37" s="21"/>
    </row>
    <row r="38" spans="1:20" x14ac:dyDescent="0.25">
      <c r="A38" s="122">
        <v>4</v>
      </c>
      <c r="B38" s="118" t="s">
        <v>59</v>
      </c>
      <c r="C38" s="118">
        <v>100.82155171216846</v>
      </c>
      <c r="D38" s="118">
        <f>0.409+0.5016*(SIN(RADIANS(C38-60)))</f>
        <v>0.73689857857484231</v>
      </c>
      <c r="E38" s="118">
        <f>0.6609-0.4767*(SIN(RADIANS(C38-60)))</f>
        <v>0.34927868339986579</v>
      </c>
      <c r="F38" s="118">
        <v>30</v>
      </c>
      <c r="G38" s="108">
        <v>0.52350379526899216</v>
      </c>
      <c r="H38" s="108">
        <v>31.976845538241953</v>
      </c>
      <c r="I38" s="108">
        <v>0.40690429847965465</v>
      </c>
      <c r="J38" s="108">
        <v>0.24</v>
      </c>
      <c r="K38" s="108">
        <v>9.4148933468800724</v>
      </c>
      <c r="L38" s="17" t="s">
        <v>37</v>
      </c>
      <c r="M38" s="12">
        <v>6.5</v>
      </c>
      <c r="N38" s="20">
        <f>15*(M38-12)</f>
        <v>-82.5</v>
      </c>
      <c r="O38" s="25">
        <f>(PI()/24)*((COS(N38*PI()/180)-COS($C$38*PI()/180))/(SIN($C$38*PI()/180)-((PI()*$C$38/180)*COS($C$38*PI()/180))))</f>
        <v>3.1740434140148405E-2</v>
      </c>
      <c r="P38" s="39">
        <f t="shared" ref="P38:P50" si="13">($D$38+($E$38*COS(RADIANS(N38))))*O38</f>
        <v>2.4836527719542843E-2</v>
      </c>
      <c r="Q38" s="42">
        <f>((COS((RADIANS($AI$4)-RADIANS($F$38)))*COS(RADIANS($K$38))*COS(RADIANS(N38)))+(SIN((RADIANS($AI$4)-RADIANS($F$38)))*SIN(RADIANS($K$38))))/((COS(RADIANS($AI$4))*COS(RADIANS($K$38))*COS(RADIANS(N38)))+(SIN(RADIANS($AI$4))*SIN(RADIANS($K$38))))</f>
        <v>0.83771155283117527</v>
      </c>
      <c r="R38" s="99">
        <f>($G$38*$H$38)*(((P38-($I$38*O38))*Q38)+($I$38*O38*((1+COS(RADIANS($F$38)))/2))+($J$38*P38*((1-COS(RADIANS($F$38)))/2)))</f>
        <v>0.37557841576922574</v>
      </c>
      <c r="S38" s="114">
        <v>12</v>
      </c>
      <c r="T38" s="21"/>
    </row>
    <row r="39" spans="1:20" x14ac:dyDescent="0.25">
      <c r="A39" s="122"/>
      <c r="B39" s="118"/>
      <c r="C39" s="118"/>
      <c r="D39" s="118"/>
      <c r="E39" s="118"/>
      <c r="F39" s="118"/>
      <c r="G39" s="109"/>
      <c r="H39" s="109"/>
      <c r="I39" s="109"/>
      <c r="J39" s="109"/>
      <c r="K39" s="109"/>
      <c r="L39" s="17" t="s">
        <v>38</v>
      </c>
      <c r="M39" s="12">
        <v>7.5</v>
      </c>
      <c r="N39" s="20">
        <f t="shared" si="2"/>
        <v>-67.5</v>
      </c>
      <c r="O39" s="26">
        <f t="shared" ref="O39:O48" si="14">(PI()/24)*((COS(N39*PI()/180)-COS($C$38*PI()/180))/(SIN($C$38*PI()/180)-((PI()*$C$38/180)*COS($C$38*PI()/180))))</f>
        <v>5.6887022789063733E-2</v>
      </c>
      <c r="P39" s="54">
        <f t="shared" si="13"/>
        <v>4.9523665769661128E-2</v>
      </c>
      <c r="Q39" s="43">
        <f t="shared" ref="Q39:Q50" si="15">((COS((RADIANS($AI$4)-RADIANS($F$38)))*COS(RADIANS($K$38))*COS(RADIANS(N39)))+(SIN((RADIANS($AI$4)-RADIANS($F$38)))*SIN(RADIANS($K$38))))/((COS(RADIANS($AI$4))*COS(RADIANS($K$38))*COS(RADIANS(N39)))+(SIN(RADIANS($AI$4))*SIN(RADIANS($K$38))))</f>
        <v>1.1004873980740697</v>
      </c>
      <c r="R39" s="101">
        <f t="shared" ref="R39:R49" si="16">($G$38*$H$38)*(((P39-($I$38*O39))*Q39)+($I$38*O39*((1+COS(RADIANS($F$38)))/2))+($J$38*P39*((1-COS(RADIANS($F$38)))/2)))</f>
        <v>0.86076622531046576</v>
      </c>
      <c r="S39" s="115"/>
      <c r="T39" s="21"/>
    </row>
    <row r="40" spans="1:20" x14ac:dyDescent="0.25">
      <c r="A40" s="122"/>
      <c r="B40" s="118"/>
      <c r="C40" s="118"/>
      <c r="D40" s="118"/>
      <c r="E40" s="118"/>
      <c r="F40" s="118"/>
      <c r="G40" s="109"/>
      <c r="H40" s="109"/>
      <c r="I40" s="109"/>
      <c r="J40" s="109"/>
      <c r="K40" s="109"/>
      <c r="L40" s="17" t="s">
        <v>39</v>
      </c>
      <c r="M40" s="12">
        <v>8.5</v>
      </c>
      <c r="N40" s="20">
        <f t="shared" si="2"/>
        <v>-52.5</v>
      </c>
      <c r="O40" s="26">
        <f t="shared" si="14"/>
        <v>7.9432837380380816E-2</v>
      </c>
      <c r="P40" s="54">
        <f t="shared" si="13"/>
        <v>7.5423541884313786E-2</v>
      </c>
      <c r="Q40" s="43">
        <f t="shared" si="15"/>
        <v>1.1946297582353322</v>
      </c>
      <c r="R40" s="101">
        <f t="shared" si="16"/>
        <v>1.3870749950795642</v>
      </c>
      <c r="S40" s="115"/>
      <c r="T40" s="21"/>
    </row>
    <row r="41" spans="1:20" x14ac:dyDescent="0.25">
      <c r="A41" s="122"/>
      <c r="B41" s="118"/>
      <c r="C41" s="118"/>
      <c r="D41" s="118"/>
      <c r="E41" s="118"/>
      <c r="F41" s="118"/>
      <c r="G41" s="109"/>
      <c r="H41" s="109"/>
      <c r="I41" s="109"/>
      <c r="J41" s="109"/>
      <c r="K41" s="109"/>
      <c r="L41" s="17" t="s">
        <v>40</v>
      </c>
      <c r="M41" s="12">
        <v>9.5</v>
      </c>
      <c r="N41" s="20">
        <f t="shared" si="2"/>
        <v>-37.5</v>
      </c>
      <c r="O41" s="26">
        <f t="shared" si="14"/>
        <v>9.7841417908421643E-2</v>
      </c>
      <c r="P41" s="54">
        <f t="shared" si="13"/>
        <v>9.9211196657704517E-2</v>
      </c>
      <c r="Q41" s="43">
        <f t="shared" si="15"/>
        <v>1.2393217715946745</v>
      </c>
      <c r="R41" s="101">
        <f t="shared" si="16"/>
        <v>1.8808194236044842</v>
      </c>
      <c r="S41" s="115"/>
      <c r="T41" s="21"/>
    </row>
    <row r="42" spans="1:20" x14ac:dyDescent="0.25">
      <c r="A42" s="122"/>
      <c r="B42" s="118"/>
      <c r="C42" s="118"/>
      <c r="D42" s="118"/>
      <c r="E42" s="118"/>
      <c r="F42" s="118"/>
      <c r="G42" s="109"/>
      <c r="H42" s="109"/>
      <c r="I42" s="109"/>
      <c r="J42" s="109"/>
      <c r="K42" s="109"/>
      <c r="L42" s="17" t="s">
        <v>41</v>
      </c>
      <c r="M42" s="12">
        <v>10.5</v>
      </c>
      <c r="N42" s="20">
        <f t="shared" si="2"/>
        <v>-22.5</v>
      </c>
      <c r="O42" s="26">
        <f t="shared" si="14"/>
        <v>0.11085825003181796</v>
      </c>
      <c r="P42" s="54">
        <f t="shared" si="13"/>
        <v>0.11746429373992319</v>
      </c>
      <c r="Q42" s="43">
        <f t="shared" si="15"/>
        <v>1.2619654500623887</v>
      </c>
      <c r="R42" s="101">
        <f t="shared" si="16"/>
        <v>2.2646829151321946</v>
      </c>
      <c r="S42" s="115"/>
      <c r="T42" s="21"/>
    </row>
    <row r="43" spans="1:20" x14ac:dyDescent="0.25">
      <c r="A43" s="122"/>
      <c r="B43" s="118"/>
      <c r="C43" s="118"/>
      <c r="D43" s="118"/>
      <c r="E43" s="118"/>
      <c r="F43" s="118"/>
      <c r="G43" s="109"/>
      <c r="H43" s="109"/>
      <c r="I43" s="109"/>
      <c r="J43" s="109"/>
      <c r="K43" s="109"/>
      <c r="L43" s="17" t="s">
        <v>42</v>
      </c>
      <c r="M43" s="12">
        <v>11.5</v>
      </c>
      <c r="N43" s="20">
        <f t="shared" si="2"/>
        <v>-7.5</v>
      </c>
      <c r="O43" s="26">
        <f t="shared" si="14"/>
        <v>0.11759625815269244</v>
      </c>
      <c r="P43" s="54">
        <f t="shared" si="13"/>
        <v>0.12737898907933398</v>
      </c>
      <c r="Q43" s="43">
        <f t="shared" si="15"/>
        <v>1.2717176464973803</v>
      </c>
      <c r="R43" s="101">
        <f t="shared" si="16"/>
        <v>2.4746875785008546</v>
      </c>
      <c r="S43" s="115"/>
      <c r="T43" s="21"/>
    </row>
    <row r="44" spans="1:20" x14ac:dyDescent="0.25">
      <c r="A44" s="122"/>
      <c r="B44" s="118"/>
      <c r="C44" s="118"/>
      <c r="D44" s="118"/>
      <c r="E44" s="118"/>
      <c r="F44" s="118"/>
      <c r="G44" s="109"/>
      <c r="H44" s="109"/>
      <c r="I44" s="109"/>
      <c r="J44" s="109"/>
      <c r="K44" s="109"/>
      <c r="L44" s="17" t="s">
        <v>43</v>
      </c>
      <c r="M44" s="12">
        <v>12.5</v>
      </c>
      <c r="N44" s="20">
        <f t="shared" si="2"/>
        <v>7.5</v>
      </c>
      <c r="O44" s="26">
        <f t="shared" si="14"/>
        <v>0.11759625815269244</v>
      </c>
      <c r="P44" s="54">
        <f t="shared" si="13"/>
        <v>0.12737898907933398</v>
      </c>
      <c r="Q44" s="43">
        <f t="shared" si="15"/>
        <v>1.2717176464973803</v>
      </c>
      <c r="R44" s="101">
        <f t="shared" si="16"/>
        <v>2.4746875785008546</v>
      </c>
      <c r="S44" s="115"/>
      <c r="T44" s="21"/>
    </row>
    <row r="45" spans="1:20" x14ac:dyDescent="0.25">
      <c r="A45" s="122"/>
      <c r="B45" s="118"/>
      <c r="C45" s="118"/>
      <c r="D45" s="118"/>
      <c r="E45" s="118"/>
      <c r="F45" s="118"/>
      <c r="G45" s="109"/>
      <c r="H45" s="109"/>
      <c r="I45" s="109"/>
      <c r="J45" s="109"/>
      <c r="K45" s="109"/>
      <c r="L45" s="17" t="s">
        <v>44</v>
      </c>
      <c r="M45" s="12">
        <v>13.5</v>
      </c>
      <c r="N45" s="20">
        <f t="shared" si="2"/>
        <v>22.5</v>
      </c>
      <c r="O45" s="26">
        <f t="shared" si="14"/>
        <v>0.11085825003181796</v>
      </c>
      <c r="P45" s="54">
        <f t="shared" si="13"/>
        <v>0.11746429373992319</v>
      </c>
      <c r="Q45" s="43">
        <f t="shared" si="15"/>
        <v>1.2619654500623887</v>
      </c>
      <c r="R45" s="101">
        <f t="shared" si="16"/>
        <v>2.2646829151321946</v>
      </c>
      <c r="S45" s="115"/>
      <c r="T45" s="21"/>
    </row>
    <row r="46" spans="1:20" x14ac:dyDescent="0.25">
      <c r="A46" s="122"/>
      <c r="B46" s="118"/>
      <c r="C46" s="118"/>
      <c r="D46" s="118"/>
      <c r="E46" s="118"/>
      <c r="F46" s="118"/>
      <c r="G46" s="109"/>
      <c r="H46" s="109"/>
      <c r="I46" s="109"/>
      <c r="J46" s="109"/>
      <c r="K46" s="109"/>
      <c r="L46" s="17" t="s">
        <v>45</v>
      </c>
      <c r="M46" s="12">
        <v>14.5</v>
      </c>
      <c r="N46" s="20">
        <f t="shared" si="2"/>
        <v>37.5</v>
      </c>
      <c r="O46" s="26">
        <f t="shared" si="14"/>
        <v>9.7841417908421643E-2</v>
      </c>
      <c r="P46" s="54">
        <f t="shared" si="13"/>
        <v>9.9211196657704517E-2</v>
      </c>
      <c r="Q46" s="43">
        <f t="shared" si="15"/>
        <v>1.2393217715946745</v>
      </c>
      <c r="R46" s="101">
        <f t="shared" si="16"/>
        <v>1.8808194236044842</v>
      </c>
      <c r="S46" s="115"/>
      <c r="T46" s="21"/>
    </row>
    <row r="47" spans="1:20" x14ac:dyDescent="0.25">
      <c r="A47" s="122"/>
      <c r="B47" s="118"/>
      <c r="C47" s="118"/>
      <c r="D47" s="118"/>
      <c r="E47" s="118"/>
      <c r="F47" s="118"/>
      <c r="G47" s="109"/>
      <c r="H47" s="109"/>
      <c r="I47" s="109"/>
      <c r="J47" s="109"/>
      <c r="K47" s="109"/>
      <c r="L47" s="17" t="s">
        <v>46</v>
      </c>
      <c r="M47" s="12">
        <v>15.5</v>
      </c>
      <c r="N47" s="20">
        <f t="shared" si="2"/>
        <v>52.5</v>
      </c>
      <c r="O47" s="26">
        <f t="shared" si="14"/>
        <v>7.9432837380380816E-2</v>
      </c>
      <c r="P47" s="54">
        <f t="shared" si="13"/>
        <v>7.5423541884313786E-2</v>
      </c>
      <c r="Q47" s="43">
        <f t="shared" si="15"/>
        <v>1.1946297582353322</v>
      </c>
      <c r="R47" s="101">
        <f t="shared" si="16"/>
        <v>1.3870749950795642</v>
      </c>
      <c r="S47" s="115"/>
      <c r="T47" s="21"/>
    </row>
    <row r="48" spans="1:20" x14ac:dyDescent="0.25">
      <c r="A48" s="122"/>
      <c r="B48" s="118"/>
      <c r="C48" s="118"/>
      <c r="D48" s="118"/>
      <c r="E48" s="118"/>
      <c r="F48" s="118"/>
      <c r="G48" s="109"/>
      <c r="H48" s="109"/>
      <c r="I48" s="109"/>
      <c r="J48" s="109"/>
      <c r="K48" s="109"/>
      <c r="L48" s="17" t="s">
        <v>47</v>
      </c>
      <c r="M48" s="12">
        <v>16.5</v>
      </c>
      <c r="N48" s="20">
        <f t="shared" si="2"/>
        <v>67.5</v>
      </c>
      <c r="O48" s="26">
        <f t="shared" si="14"/>
        <v>5.6887022789063733E-2</v>
      </c>
      <c r="P48" s="54">
        <f t="shared" si="13"/>
        <v>4.9523665769661128E-2</v>
      </c>
      <c r="Q48" s="43">
        <f t="shared" si="15"/>
        <v>1.1004873980740697</v>
      </c>
      <c r="R48" s="101">
        <f t="shared" si="16"/>
        <v>0.86076622531046576</v>
      </c>
      <c r="S48" s="115"/>
      <c r="T48" s="21"/>
    </row>
    <row r="49" spans="1:37" x14ac:dyDescent="0.25">
      <c r="A49" s="122"/>
      <c r="B49" s="118"/>
      <c r="C49" s="118"/>
      <c r="D49" s="118"/>
      <c r="E49" s="118"/>
      <c r="F49" s="118"/>
      <c r="G49" s="110"/>
      <c r="H49" s="110"/>
      <c r="I49" s="110"/>
      <c r="J49" s="110"/>
      <c r="K49" s="110"/>
      <c r="L49" s="17" t="s">
        <v>48</v>
      </c>
      <c r="M49" s="12">
        <v>17.5</v>
      </c>
      <c r="N49" s="20">
        <f t="shared" si="2"/>
        <v>82.5</v>
      </c>
      <c r="O49" s="27">
        <f>(PI()/24)*((COS(N49*PI()/180)-COS($C$38*PI()/180))/(SIN($C$38*PI()/180)-((PI()*$C$38/180)*COS($C$38*PI()/180))))</f>
        <v>3.1740434140148405E-2</v>
      </c>
      <c r="P49" s="63">
        <f t="shared" si="13"/>
        <v>2.4836527719542843E-2</v>
      </c>
      <c r="Q49" s="43">
        <f t="shared" si="15"/>
        <v>0.83771155283117527</v>
      </c>
      <c r="R49" s="102">
        <f t="shared" si="16"/>
        <v>0.37557841576922574</v>
      </c>
      <c r="S49" s="115"/>
      <c r="T49" s="21"/>
    </row>
    <row r="50" spans="1:37" x14ac:dyDescent="0.25">
      <c r="A50" s="117">
        <v>5</v>
      </c>
      <c r="B50" s="108" t="s">
        <v>11</v>
      </c>
      <c r="C50" s="108">
        <v>112.66128879051159</v>
      </c>
      <c r="D50" s="108">
        <f>0.409+0.5016*(SIN(RADIANS(C50-60)))</f>
        <v>0.80780403744055618</v>
      </c>
      <c r="E50" s="108">
        <f>0.6609-0.4767*(SIN(RADIANS(C50-60)))</f>
        <v>0.28189305293478251</v>
      </c>
      <c r="F50" s="108">
        <v>12</v>
      </c>
      <c r="G50" s="108">
        <v>0.4716695417017075</v>
      </c>
      <c r="H50" s="108">
        <v>38.696583913707329</v>
      </c>
      <c r="I50" s="108">
        <v>0.45694311316239733</v>
      </c>
      <c r="J50" s="108">
        <v>0.09</v>
      </c>
      <c r="K50" s="108">
        <v>18.791917517696167</v>
      </c>
      <c r="L50" s="17" t="s">
        <v>83</v>
      </c>
      <c r="M50" s="12">
        <v>5.5</v>
      </c>
      <c r="N50" s="20">
        <f t="shared" si="2"/>
        <v>-97.5</v>
      </c>
      <c r="O50" s="42">
        <f t="shared" ref="O50:O63" si="17">(PI()/24)*((COS(N50*PI()/180)-COS($C$50*PI()/180))/(SIN($C$50*PI()/180)-((PI()*$C$50/180)*COS($C$50*PI()/180))))</f>
        <v>1.98451928027817E-2</v>
      </c>
      <c r="P50" s="42">
        <f t="shared" si="13"/>
        <v>1.3719151699243176E-2</v>
      </c>
      <c r="Q50" s="42">
        <f t="shared" si="15"/>
        <v>-1.8741312270601194</v>
      </c>
      <c r="R50" s="103">
        <f>($G$50*$H$50)*(((P50-($I$50*O50))*Q50)+($I$50*O50*((1+COS(RADIANS($F$50)))/2))+($J$50*P50*((1-COS(RADIANS($F$50)))/2)))</f>
        <v>4.8531880379528202E-3</v>
      </c>
      <c r="S50" s="114">
        <v>14</v>
      </c>
      <c r="T50" s="21"/>
    </row>
    <row r="51" spans="1:37" x14ac:dyDescent="0.25">
      <c r="A51" s="112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7" t="s">
        <v>37</v>
      </c>
      <c r="M51" s="12">
        <v>6.5</v>
      </c>
      <c r="N51" s="20">
        <f>15*(M51-12)</f>
        <v>-82.5</v>
      </c>
      <c r="O51" s="43">
        <f t="shared" si="17"/>
        <v>4.018082981193604E-2</v>
      </c>
      <c r="P51" s="43">
        <f t="shared" ref="P51:P63" si="18">($D$50+($E$50*COS(RADIANS(N51))))*O51</f>
        <v>3.3936667151589169E-2</v>
      </c>
      <c r="Q51" s="43">
        <f t="shared" ref="Q51:Q63" si="19">((COS((RADIANS($AI$4)-RADIANS($F$50)))*COS(RADIANS($K$50))*COS(RADIANS(N51)))+(SIN((RADIANS($AI$4)-RADIANS($F$50)))*SIN(RADIANS($K$50))))/((COS(RADIANS($AI$4))*COS(RADIANS($K$50))*COS(RADIANS(N51)))+(SIN(RADIANS($AI$4))*SIN(RADIANS($K$50))))</f>
        <v>0.90056390804850917</v>
      </c>
      <c r="R51" s="103">
        <f t="shared" ref="R51:R63" si="20">($G$50*$H$50)*(((P51-($I$50*O51))*Q51)+($I$50*O51*((1+COS(RADIANS($F$50)))/2))+($J$50*P51*((1-COS(RADIANS($F$50)))/2)))</f>
        <v>0.58809006989533019</v>
      </c>
      <c r="S51" s="115"/>
      <c r="T51" s="21"/>
    </row>
    <row r="52" spans="1:37" x14ac:dyDescent="0.25">
      <c r="A52" s="112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7" t="s">
        <v>38</v>
      </c>
      <c r="M52" s="12">
        <v>7.5</v>
      </c>
      <c r="N52" s="20">
        <f t="shared" si="2"/>
        <v>-67.5</v>
      </c>
      <c r="O52" s="43">
        <f t="shared" si="17"/>
        <v>5.9823546793118007E-2</v>
      </c>
      <c r="P52" s="43">
        <f t="shared" si="18"/>
        <v>5.4779215665870691E-2</v>
      </c>
      <c r="Q52" s="43">
        <f t="shared" si="19"/>
        <v>1.0033352455360365</v>
      </c>
      <c r="R52" s="103">
        <f t="shared" si="20"/>
        <v>0.99703256774601856</v>
      </c>
      <c r="S52" s="115"/>
      <c r="T52" s="21"/>
    </row>
    <row r="53" spans="1:37" x14ac:dyDescent="0.25">
      <c r="A53" s="112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7" t="s">
        <v>39</v>
      </c>
      <c r="M53" s="12">
        <v>8.5</v>
      </c>
      <c r="N53" s="20">
        <f t="shared" si="2"/>
        <v>-52.5</v>
      </c>
      <c r="O53" s="43">
        <f t="shared" si="17"/>
        <v>7.7434725045184685E-2</v>
      </c>
      <c r="P53" s="43">
        <f t="shared" si="18"/>
        <v>7.5840317354902223E-2</v>
      </c>
      <c r="Q53" s="43">
        <f t="shared" si="19"/>
        <v>1.0511478061513677</v>
      </c>
      <c r="R53" s="103">
        <f t="shared" si="20"/>
        <v>1.4163110380281674</v>
      </c>
      <c r="S53" s="115"/>
      <c r="T53" s="21"/>
    </row>
    <row r="54" spans="1:37" x14ac:dyDescent="0.25">
      <c r="A54" s="112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7" t="s">
        <v>40</v>
      </c>
      <c r="M54" s="12">
        <v>9.5</v>
      </c>
      <c r="N54" s="20">
        <f t="shared" si="2"/>
        <v>-37.5</v>
      </c>
      <c r="O54" s="43">
        <f t="shared" si="17"/>
        <v>9.1814191874105847E-2</v>
      </c>
      <c r="P54" s="43">
        <f t="shared" si="18"/>
        <v>9.4701273767088923E-2</v>
      </c>
      <c r="Q54" s="43">
        <f t="shared" si="19"/>
        <v>1.076584385925254</v>
      </c>
      <c r="R54" s="103">
        <f t="shared" si="20"/>
        <v>1.7955520138810532</v>
      </c>
      <c r="S54" s="115"/>
      <c r="T54" s="21"/>
    </row>
    <row r="55" spans="1:37" x14ac:dyDescent="0.25">
      <c r="A55" s="112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7" t="s">
        <v>41</v>
      </c>
      <c r="M55" s="12">
        <v>10.5</v>
      </c>
      <c r="N55" s="20">
        <f t="shared" si="2"/>
        <v>-22.5</v>
      </c>
      <c r="O55" s="43">
        <f t="shared" si="17"/>
        <v>0.10198201037868301</v>
      </c>
      <c r="P55" s="43">
        <f t="shared" si="18"/>
        <v>0.10894118723946786</v>
      </c>
      <c r="Q55" s="43">
        <f t="shared" si="19"/>
        <v>1.0902414047814009</v>
      </c>
      <c r="R55" s="103">
        <f t="shared" si="20"/>
        <v>2.08373799442675</v>
      </c>
      <c r="S55" s="115"/>
      <c r="T55" s="21"/>
    </row>
    <row r="56" spans="1:37" x14ac:dyDescent="0.25">
      <c r="A56" s="112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7" t="s">
        <v>42</v>
      </c>
      <c r="M56" s="12">
        <v>11.5</v>
      </c>
      <c r="N56" s="20">
        <f t="shared" si="2"/>
        <v>-7.5</v>
      </c>
      <c r="O56" s="43">
        <f t="shared" si="17"/>
        <v>0.10724526053094383</v>
      </c>
      <c r="P56" s="43">
        <f t="shared" si="18"/>
        <v>0.11660621202486264</v>
      </c>
      <c r="Q56" s="43">
        <f t="shared" si="19"/>
        <v>1.096293612745491</v>
      </c>
      <c r="R56" s="103">
        <f t="shared" si="20"/>
        <v>2.2394292493394934</v>
      </c>
      <c r="S56" s="115"/>
      <c r="T56" s="21"/>
    </row>
    <row r="57" spans="1:37" x14ac:dyDescent="0.25">
      <c r="A57" s="112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7" t="s">
        <v>43</v>
      </c>
      <c r="M57" s="12">
        <v>12.5</v>
      </c>
      <c r="N57" s="20">
        <f t="shared" si="2"/>
        <v>7.5</v>
      </c>
      <c r="O57" s="43">
        <f t="shared" si="17"/>
        <v>0.10724526053094383</v>
      </c>
      <c r="P57" s="43">
        <f t="shared" si="18"/>
        <v>0.11660621202486264</v>
      </c>
      <c r="Q57" s="43">
        <f t="shared" si="19"/>
        <v>1.096293612745491</v>
      </c>
      <c r="R57" s="103">
        <f t="shared" si="20"/>
        <v>2.2394292493394934</v>
      </c>
      <c r="S57" s="115"/>
      <c r="T57" s="21"/>
    </row>
    <row r="58" spans="1:37" x14ac:dyDescent="0.25">
      <c r="A58" s="112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7" t="s">
        <v>44</v>
      </c>
      <c r="M58" s="12">
        <v>13.5</v>
      </c>
      <c r="N58" s="20">
        <f t="shared" si="2"/>
        <v>22.5</v>
      </c>
      <c r="O58" s="43">
        <f t="shared" si="17"/>
        <v>0.10198201037868301</v>
      </c>
      <c r="P58" s="43">
        <f t="shared" si="18"/>
        <v>0.10894118723946786</v>
      </c>
      <c r="Q58" s="43">
        <f t="shared" si="19"/>
        <v>1.0902414047814009</v>
      </c>
      <c r="R58" s="103">
        <f t="shared" si="20"/>
        <v>2.08373799442675</v>
      </c>
      <c r="S58" s="115"/>
      <c r="T58" s="21"/>
    </row>
    <row r="59" spans="1:37" x14ac:dyDescent="0.25">
      <c r="A59" s="112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7" t="s">
        <v>45</v>
      </c>
      <c r="M59" s="12">
        <v>14.5</v>
      </c>
      <c r="N59" s="20">
        <f t="shared" si="2"/>
        <v>37.5</v>
      </c>
      <c r="O59" s="43">
        <f t="shared" si="17"/>
        <v>9.1814191874105847E-2</v>
      </c>
      <c r="P59" s="43">
        <f t="shared" si="18"/>
        <v>9.4701273767088923E-2</v>
      </c>
      <c r="Q59" s="43">
        <f t="shared" si="19"/>
        <v>1.076584385925254</v>
      </c>
      <c r="R59" s="103">
        <f t="shared" si="20"/>
        <v>1.7955520138810532</v>
      </c>
      <c r="S59" s="115"/>
      <c r="T59" s="21"/>
    </row>
    <row r="60" spans="1:37" x14ac:dyDescent="0.25">
      <c r="A60" s="112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7" t="s">
        <v>46</v>
      </c>
      <c r="M60" s="12">
        <v>15.5</v>
      </c>
      <c r="N60" s="20">
        <f t="shared" si="2"/>
        <v>52.5</v>
      </c>
      <c r="O60" s="43">
        <f t="shared" si="17"/>
        <v>7.7434725045184685E-2</v>
      </c>
      <c r="P60" s="43">
        <f t="shared" si="18"/>
        <v>7.5840317354902223E-2</v>
      </c>
      <c r="Q60" s="43">
        <f t="shared" si="19"/>
        <v>1.0511478061513677</v>
      </c>
      <c r="R60" s="103">
        <f t="shared" si="20"/>
        <v>1.4163110380281674</v>
      </c>
      <c r="S60" s="115"/>
      <c r="T60" s="21"/>
    </row>
    <row r="61" spans="1:37" x14ac:dyDescent="0.25">
      <c r="A61" s="112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7" t="s">
        <v>47</v>
      </c>
      <c r="M61" s="12">
        <v>16.5</v>
      </c>
      <c r="N61" s="20">
        <f t="shared" si="2"/>
        <v>67.5</v>
      </c>
      <c r="O61" s="43">
        <f t="shared" si="17"/>
        <v>5.9823546793118007E-2</v>
      </c>
      <c r="P61" s="43">
        <f t="shared" si="18"/>
        <v>5.4779215665870691E-2</v>
      </c>
      <c r="Q61" s="43">
        <f t="shared" si="19"/>
        <v>1.0033352455360365</v>
      </c>
      <c r="R61" s="103">
        <f t="shared" si="20"/>
        <v>0.99703256774601856</v>
      </c>
      <c r="S61" s="115"/>
      <c r="T61" s="21"/>
    </row>
    <row r="62" spans="1:37" x14ac:dyDescent="0.25">
      <c r="A62" s="112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7" t="s">
        <v>48</v>
      </c>
      <c r="M62" s="12">
        <v>17.5</v>
      </c>
      <c r="N62" s="20">
        <f t="shared" si="2"/>
        <v>82.5</v>
      </c>
      <c r="O62" s="43">
        <f t="shared" si="17"/>
        <v>4.018082981193604E-2</v>
      </c>
      <c r="P62" s="43">
        <f t="shared" si="18"/>
        <v>3.3936667151589169E-2</v>
      </c>
      <c r="Q62" s="43">
        <f t="shared" si="19"/>
        <v>0.90056390804850917</v>
      </c>
      <c r="R62" s="103">
        <f t="shared" si="20"/>
        <v>0.58809006989533019</v>
      </c>
      <c r="S62" s="115"/>
      <c r="T62" s="21"/>
    </row>
    <row r="63" spans="1:37" x14ac:dyDescent="0.25">
      <c r="A63" s="113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7" t="s">
        <v>85</v>
      </c>
      <c r="M63" s="12">
        <v>18.5</v>
      </c>
      <c r="N63" s="20">
        <f t="shared" si="2"/>
        <v>97.5</v>
      </c>
      <c r="O63" s="29">
        <f t="shared" si="17"/>
        <v>1.98451928027817E-2</v>
      </c>
      <c r="P63" s="29">
        <f t="shared" si="18"/>
        <v>1.5300834375704226E-2</v>
      </c>
      <c r="Q63" s="43">
        <f t="shared" si="19"/>
        <v>0.57982986001013126</v>
      </c>
      <c r="R63" s="104">
        <f t="shared" si="20"/>
        <v>0.22993872744464333</v>
      </c>
      <c r="S63" s="116"/>
      <c r="T63" s="21"/>
    </row>
    <row r="64" spans="1:37" x14ac:dyDescent="0.25">
      <c r="A64" s="117">
        <v>6</v>
      </c>
      <c r="B64" s="108" t="s">
        <v>60</v>
      </c>
      <c r="C64" s="108">
        <v>118.85737576285086</v>
      </c>
      <c r="D64" s="108">
        <f>0.409+0.5016*(SIN(RADIANS(C64-60)))</f>
        <v>0.83831070280901909</v>
      </c>
      <c r="E64" s="108">
        <f>0.6609-0.4767*(SIN(RADIANS(C64-60)))</f>
        <v>0.25290077346678752</v>
      </c>
      <c r="F64" s="108">
        <v>3</v>
      </c>
      <c r="G64" s="108">
        <v>0.47203087169233182</v>
      </c>
      <c r="H64" s="108">
        <v>41.641344197528916</v>
      </c>
      <c r="I64" s="108">
        <v>0.45658025280829262</v>
      </c>
      <c r="J64" s="108">
        <v>0.1</v>
      </c>
      <c r="K64" s="108">
        <v>23.085911002836561</v>
      </c>
      <c r="L64" s="17" t="s">
        <v>82</v>
      </c>
      <c r="M64" s="12">
        <v>4.5</v>
      </c>
      <c r="N64" s="20">
        <f t="shared" si="2"/>
        <v>-112.5</v>
      </c>
      <c r="O64" s="63">
        <f t="shared" ref="O64:O65" si="21">(PI()/24)*((COS(N64*PI()/180)-COS($C$64*PI()/180))/(SIN($C$64*PI()/180)-((PI()*$C$64/180)*COS($C$64*PI()/180))))</f>
        <v>6.9701490361506746E-3</v>
      </c>
      <c r="P64" s="63">
        <f t="shared" ref="P64:P65" si="22">($D$64+($E$64*COS(RADIANS(N64))))*O64</f>
        <v>5.1685729891356611E-3</v>
      </c>
      <c r="Q64" s="42">
        <f t="shared" ref="Q64:Q65" si="23">((COS((RADIANS($AI$4)-RADIANS($F$64)))*COS(RADIANS($K$64))*COS(RADIANS(N64)))+(SIN((RADIANS($AI$4)-RADIANS($F$64)))*SIN(RADIANS($K$64))))/((COS(RADIANS($AI$4))*COS(RADIANS($K$64))*COS(RADIANS(N64)))+(SIN(RADIANS($AI$4))*SIN(RADIANS($K$64))))</f>
        <v>0.54853870293916829</v>
      </c>
      <c r="R64" s="99">
        <f>($G$64*$H$64)*(((P64-($I$64*O64))*Q64)+($I$64*O64*((1+COS(RADIANS($F$64)))/2))+($J$64*P64*((1-COS(RADIANS($F$64)))/2)))</f>
        <v>8.3932709141909354E-2</v>
      </c>
      <c r="S64" s="114">
        <v>16</v>
      </c>
      <c r="T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</row>
    <row r="65" spans="1:25" x14ac:dyDescent="0.25">
      <c r="A65" s="112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7" t="s">
        <v>83</v>
      </c>
      <c r="M65" s="12">
        <v>5.5</v>
      </c>
      <c r="N65" s="20">
        <v>-97.5</v>
      </c>
      <c r="O65" s="63">
        <f t="shared" si="21"/>
        <v>2.4555111305835396E-2</v>
      </c>
      <c r="P65" s="63">
        <f t="shared" si="22"/>
        <v>1.9774244095732026E-2</v>
      </c>
      <c r="Q65" s="43">
        <f t="shared" si="23"/>
        <v>0.91330595192196606</v>
      </c>
      <c r="R65" s="97">
        <f t="shared" ref="R65:R79" si="24">($G$64*$H$64)*(((P65-($I$64*O65))*Q65)+($I$64*O65*((1+COS(RADIANS($F$64)))/2))+($J$64*P65*((1-COS(RADIANS($F$64)))/2)))</f>
        <v>0.37396654975398269</v>
      </c>
      <c r="S65" s="115"/>
      <c r="T65" s="21"/>
    </row>
    <row r="66" spans="1:25" x14ac:dyDescent="0.25">
      <c r="A66" s="112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7" t="s">
        <v>37</v>
      </c>
      <c r="M66" s="12">
        <v>6.5</v>
      </c>
      <c r="N66" s="20">
        <f>15*(M66-12)</f>
        <v>-82.5</v>
      </c>
      <c r="O66" s="63">
        <f t="shared" ref="O66:O79" si="25">(PI()/24)*((COS(N66*PI()/180)-COS($C$64*PI()/180))/(SIN($C$64*PI()/180)-((PI()*$C$64/180)*COS($C$64*PI()/180))))</f>
        <v>4.2760403877049991E-2</v>
      </c>
      <c r="P66" s="63">
        <f t="shared" ref="P66:P79" si="26">($D$64+($E$64*COS(RADIANS(N66))))*O66</f>
        <v>3.7258032640341943E-2</v>
      </c>
      <c r="Q66" s="43">
        <f t="shared" ref="Q66:Q79" si="27">((COS((RADIANS($AI$4)-RADIANS($F$64)))*COS(RADIANS($K$64))*COS(RADIANS(N66)))+(SIN((RADIANS($AI$4)-RADIANS($F$64)))*SIN(RADIANS($K$64))))/((COS(RADIANS($AI$4))*COS(RADIANS($K$64))*COS(RADIANS(N66)))+(SIN(RADIANS($AI$4))*SIN(RADIANS($K$64))))</f>
        <v>0.97486222611767182</v>
      </c>
      <c r="R66" s="97">
        <f t="shared" si="24"/>
        <v>0.72336836245691483</v>
      </c>
      <c r="S66" s="115"/>
      <c r="T66" s="21"/>
    </row>
    <row r="67" spans="1:25" x14ac:dyDescent="0.25">
      <c r="A67" s="112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7" t="s">
        <v>38</v>
      </c>
      <c r="M67" s="12">
        <v>7.5</v>
      </c>
      <c r="N67" s="20">
        <f t="shared" si="2"/>
        <v>-67.5</v>
      </c>
      <c r="O67" s="63">
        <f t="shared" si="25"/>
        <v>6.0345366146734698E-2</v>
      </c>
      <c r="P67" s="63">
        <f t="shared" si="26"/>
        <v>5.6428447326976973E-2</v>
      </c>
      <c r="Q67" s="43">
        <f t="shared" si="27"/>
        <v>0.99905658308242651</v>
      </c>
      <c r="R67" s="97">
        <f t="shared" si="24"/>
        <v>1.1083269911287983</v>
      </c>
      <c r="S67" s="115"/>
      <c r="T67" s="21"/>
    </row>
    <row r="68" spans="1:25" x14ac:dyDescent="0.25">
      <c r="A68" s="112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7" t="s">
        <v>39</v>
      </c>
      <c r="M68" s="12">
        <v>8.5</v>
      </c>
      <c r="N68" s="20">
        <f t="shared" si="2"/>
        <v>-52.5</v>
      </c>
      <c r="O68" s="63">
        <f t="shared" si="25"/>
        <v>7.6111611996734663E-2</v>
      </c>
      <c r="P68" s="63">
        <f t="shared" si="26"/>
        <v>7.5523036263079935E-2</v>
      </c>
      <c r="Q68" s="43">
        <f t="shared" si="27"/>
        <v>1.0112434429103418</v>
      </c>
      <c r="R68" s="97">
        <f t="shared" si="24"/>
        <v>1.493125114966519</v>
      </c>
      <c r="S68" s="115"/>
      <c r="T68" s="56"/>
    </row>
    <row r="69" spans="1:25" x14ac:dyDescent="0.25">
      <c r="A69" s="112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7" t="s">
        <v>40</v>
      </c>
      <c r="M69" s="12">
        <v>9.5</v>
      </c>
      <c r="N69" s="20">
        <f t="shared" si="2"/>
        <v>-37.5</v>
      </c>
      <c r="O69" s="63">
        <f t="shared" si="25"/>
        <v>8.8984697827325598E-2</v>
      </c>
      <c r="P69" s="63">
        <f t="shared" si="26"/>
        <v>9.2450685283843967E-2</v>
      </c>
      <c r="Q69" s="43">
        <f t="shared" si="27"/>
        <v>1.0179914383922173</v>
      </c>
      <c r="R69" s="97">
        <f t="shared" si="24"/>
        <v>1.8351142941474448</v>
      </c>
      <c r="S69" s="115"/>
      <c r="T69" s="55"/>
      <c r="U69" s="21"/>
    </row>
    <row r="70" spans="1:25" x14ac:dyDescent="0.25">
      <c r="A70" s="112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7" t="s">
        <v>41</v>
      </c>
      <c r="M70" s="12">
        <v>10.5</v>
      </c>
      <c r="N70" s="20">
        <f t="shared" si="2"/>
        <v>-22.5</v>
      </c>
      <c r="O70" s="63">
        <f t="shared" si="25"/>
        <v>9.8087344112932892E-2</v>
      </c>
      <c r="P70" s="63">
        <f t="shared" si="26"/>
        <v>0.10514576345822435</v>
      </c>
      <c r="Q70" s="43">
        <f t="shared" si="27"/>
        <v>1.0216939610937583</v>
      </c>
      <c r="R70" s="97">
        <f t="shared" si="24"/>
        <v>2.0920224784075607</v>
      </c>
      <c r="S70" s="115"/>
      <c r="T70" s="55"/>
      <c r="U70" s="21"/>
    </row>
    <row r="71" spans="1:25" x14ac:dyDescent="0.25">
      <c r="A71" s="112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7" t="s">
        <v>42</v>
      </c>
      <c r="M71" s="12">
        <v>11.5</v>
      </c>
      <c r="N71" s="20">
        <f t="shared" ref="N71:N80" si="28">15*(M71-12)</f>
        <v>-7.5</v>
      </c>
      <c r="O71" s="63">
        <f t="shared" si="25"/>
        <v>0.10279922055202667</v>
      </c>
      <c r="P71" s="63">
        <f t="shared" si="26"/>
        <v>0.11195327270413404</v>
      </c>
      <c r="Q71" s="43">
        <f t="shared" si="27"/>
        <v>1.0233529728536059</v>
      </c>
      <c r="R71" s="97">
        <f t="shared" si="24"/>
        <v>2.2299167159583284</v>
      </c>
      <c r="S71" s="115"/>
      <c r="T71" s="55"/>
      <c r="U71" s="21"/>
    </row>
    <row r="72" spans="1:25" x14ac:dyDescent="0.25">
      <c r="A72" s="112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7" t="s">
        <v>43</v>
      </c>
      <c r="M72" s="12">
        <v>12.5</v>
      </c>
      <c r="N72" s="20">
        <f t="shared" si="28"/>
        <v>7.5</v>
      </c>
      <c r="O72" s="63">
        <f t="shared" si="25"/>
        <v>0.10279922055202667</v>
      </c>
      <c r="P72" s="63">
        <f t="shared" si="26"/>
        <v>0.11195327270413404</v>
      </c>
      <c r="Q72" s="43">
        <f t="shared" si="27"/>
        <v>1.0233529728536059</v>
      </c>
      <c r="R72" s="97">
        <f t="shared" si="24"/>
        <v>2.2299167159583284</v>
      </c>
      <c r="S72" s="115"/>
      <c r="T72" s="55"/>
      <c r="U72" s="21"/>
    </row>
    <row r="73" spans="1:25" x14ac:dyDescent="0.25">
      <c r="A73" s="112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7" t="s">
        <v>44</v>
      </c>
      <c r="M73" s="12">
        <v>13.5</v>
      </c>
      <c r="N73" s="20">
        <f t="shared" si="28"/>
        <v>22.5</v>
      </c>
      <c r="O73" s="63">
        <f t="shared" si="25"/>
        <v>9.8087344112932892E-2</v>
      </c>
      <c r="P73" s="63">
        <f t="shared" si="26"/>
        <v>0.10514576345822435</v>
      </c>
      <c r="Q73" s="43">
        <f t="shared" si="27"/>
        <v>1.0216939610937583</v>
      </c>
      <c r="R73" s="97">
        <f t="shared" si="24"/>
        <v>2.0920224784075607</v>
      </c>
      <c r="S73" s="115"/>
      <c r="T73" s="55"/>
      <c r="U73" s="21"/>
    </row>
    <row r="74" spans="1:25" x14ac:dyDescent="0.25">
      <c r="A74" s="112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7" t="s">
        <v>45</v>
      </c>
      <c r="M74" s="12">
        <v>14.5</v>
      </c>
      <c r="N74" s="20">
        <f t="shared" si="28"/>
        <v>37.5</v>
      </c>
      <c r="O74" s="63">
        <f t="shared" si="25"/>
        <v>8.8984697827325598E-2</v>
      </c>
      <c r="P74" s="63">
        <f t="shared" si="26"/>
        <v>9.2450685283843967E-2</v>
      </c>
      <c r="Q74" s="43">
        <f t="shared" si="27"/>
        <v>1.0179914383922173</v>
      </c>
      <c r="R74" s="97">
        <f t="shared" si="24"/>
        <v>1.8351142941474448</v>
      </c>
      <c r="S74" s="115"/>
      <c r="T74" s="55"/>
      <c r="U74" s="21"/>
    </row>
    <row r="75" spans="1:25" x14ac:dyDescent="0.25">
      <c r="A75" s="112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7" t="s">
        <v>46</v>
      </c>
      <c r="M75" s="12">
        <v>15.5</v>
      </c>
      <c r="N75" s="20">
        <f t="shared" si="28"/>
        <v>52.5</v>
      </c>
      <c r="O75" s="63">
        <f t="shared" si="25"/>
        <v>7.6111611996734663E-2</v>
      </c>
      <c r="P75" s="63">
        <f t="shared" si="26"/>
        <v>7.5523036263079935E-2</v>
      </c>
      <c r="Q75" s="43">
        <f t="shared" si="27"/>
        <v>1.0112434429103418</v>
      </c>
      <c r="R75" s="97">
        <f t="shared" si="24"/>
        <v>1.493125114966519</v>
      </c>
      <c r="S75" s="115"/>
      <c r="T75" s="55"/>
      <c r="U75" s="21"/>
    </row>
    <row r="76" spans="1:25" x14ac:dyDescent="0.25">
      <c r="A76" s="112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7" t="s">
        <v>47</v>
      </c>
      <c r="M76" s="12">
        <v>16.5</v>
      </c>
      <c r="N76" s="20">
        <f t="shared" si="28"/>
        <v>67.5</v>
      </c>
      <c r="O76" s="63">
        <f t="shared" si="25"/>
        <v>6.0345366146734698E-2</v>
      </c>
      <c r="P76" s="63">
        <f t="shared" si="26"/>
        <v>5.6428447326976973E-2</v>
      </c>
      <c r="Q76" s="43">
        <f t="shared" si="27"/>
        <v>0.99905658308242651</v>
      </c>
      <c r="R76" s="97">
        <f t="shared" si="24"/>
        <v>1.1083269911287983</v>
      </c>
      <c r="S76" s="115"/>
      <c r="T76" s="55"/>
      <c r="U76" s="21"/>
    </row>
    <row r="77" spans="1:25" x14ac:dyDescent="0.25">
      <c r="A77" s="112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7" t="s">
        <v>48</v>
      </c>
      <c r="M77" s="12">
        <v>17.5</v>
      </c>
      <c r="N77" s="20">
        <f t="shared" si="28"/>
        <v>82.5</v>
      </c>
      <c r="O77" s="63">
        <f t="shared" si="25"/>
        <v>4.2760403877049991E-2</v>
      </c>
      <c r="P77" s="63">
        <f t="shared" si="26"/>
        <v>3.7258032640341943E-2</v>
      </c>
      <c r="Q77" s="43">
        <f t="shared" si="27"/>
        <v>0.97486222611767182</v>
      </c>
      <c r="R77" s="97">
        <f t="shared" si="24"/>
        <v>0.72336836245691483</v>
      </c>
      <c r="S77" s="115"/>
      <c r="T77" s="55"/>
      <c r="U77" s="21"/>
    </row>
    <row r="78" spans="1:25" x14ac:dyDescent="0.25">
      <c r="A78" s="112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7" t="s">
        <v>85</v>
      </c>
      <c r="M78" s="12">
        <v>18.5</v>
      </c>
      <c r="N78" s="20">
        <f t="shared" si="28"/>
        <v>97.5</v>
      </c>
      <c r="O78" s="63">
        <f t="shared" si="25"/>
        <v>2.4555111305835396E-2</v>
      </c>
      <c r="P78" s="63">
        <f t="shared" si="26"/>
        <v>1.9774244095732026E-2</v>
      </c>
      <c r="Q78" s="43">
        <f t="shared" si="27"/>
        <v>0.91330595192196606</v>
      </c>
      <c r="R78" s="97">
        <f t="shared" si="24"/>
        <v>0.37396654975398269</v>
      </c>
      <c r="S78" s="115"/>
      <c r="T78" s="55"/>
      <c r="U78" s="21"/>
    </row>
    <row r="79" spans="1:25" x14ac:dyDescent="0.25">
      <c r="A79" s="112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7" t="s">
        <v>86</v>
      </c>
      <c r="M79" s="12">
        <v>19.5</v>
      </c>
      <c r="N79" s="20">
        <f t="shared" si="28"/>
        <v>112.5</v>
      </c>
      <c r="O79" s="63">
        <f t="shared" si="25"/>
        <v>6.9701490361506746E-3</v>
      </c>
      <c r="P79" s="63">
        <f t="shared" si="26"/>
        <v>5.1685729891356611E-3</v>
      </c>
      <c r="Q79" s="29">
        <f t="shared" si="27"/>
        <v>0.54853870293916829</v>
      </c>
      <c r="R79" s="100">
        <f t="shared" si="24"/>
        <v>8.3932709141909354E-2</v>
      </c>
      <c r="S79" s="115"/>
      <c r="T79" s="55"/>
      <c r="U79" s="21"/>
    </row>
    <row r="80" spans="1:25" x14ac:dyDescent="0.25">
      <c r="A80" s="119">
        <v>7</v>
      </c>
      <c r="B80" s="108" t="s">
        <v>61</v>
      </c>
      <c r="C80" s="108">
        <v>116.02818895494727</v>
      </c>
      <c r="D80" s="108">
        <f>0.409+0.5016*(SIN(RADIANS(C80-60)))</f>
        <v>0.82498319492695193</v>
      </c>
      <c r="E80" s="108">
        <f>0.6609-0.4767*(SIN(RADIANS(C80-60)))</f>
        <v>0.26556668855327364</v>
      </c>
      <c r="F80" s="108">
        <v>9</v>
      </c>
      <c r="G80" s="108">
        <v>0.44560533421591836</v>
      </c>
      <c r="H80" s="108">
        <v>40.152122576096495</v>
      </c>
      <c r="I80" s="108">
        <v>0.48373558148393192</v>
      </c>
      <c r="J80" s="108">
        <v>0.1</v>
      </c>
      <c r="K80" s="108">
        <v>21.18369356451386</v>
      </c>
      <c r="L80" s="17" t="s">
        <v>83</v>
      </c>
      <c r="M80" s="12">
        <v>5.5</v>
      </c>
      <c r="N80" s="20">
        <f t="shared" si="28"/>
        <v>-97.5</v>
      </c>
      <c r="O80" s="42">
        <f t="shared" ref="O80:O93" si="29">(PI()/24)*((COS(N80*PI()/180)-COS($C$80*PI()/180))/(SIN($C$80*PI()/180)-((PI()*$C$80/180)*COS($C$80*PI()/180))))</f>
        <v>2.2579742022893395E-2</v>
      </c>
      <c r="P80" s="42">
        <f t="shared" ref="P80:P93" si="30">($D$80+($E$80*COS(RADIANS(N80))))*O80</f>
        <v>1.7845216890007516E-2</v>
      </c>
      <c r="Q80" s="42">
        <f t="shared" ref="Q80:Q93" si="31">((COS((RADIANS($AI$4)-RADIANS($F$80)))*COS(RADIANS($K$80))*COS(RADIANS(N80)))+(SIN((RADIANS($AI$4)-RADIANS($F$80)))*SIN(RADIANS($K$80))))/((COS(RADIANS($AI$4))*COS(RADIANS($K$80))*COS(RADIANS(N80)))+(SIN(RADIANS($AI$4))*SIN(RADIANS($K$80))))</f>
        <v>0.71604029106593758</v>
      </c>
      <c r="R80" s="99">
        <f>($G$80*$H$80)*(((P80-($I$80*O80))*Q80)+($I$80*O80*((1+COS(RADIANS($F$80)))/2))+($J$80*P80*((1-COS(RADIANS($F$80)))/2)))</f>
        <v>0.28310917754267007</v>
      </c>
      <c r="S80" s="58"/>
      <c r="T80" s="55"/>
      <c r="U80" s="21"/>
      <c r="V80" s="21"/>
      <c r="W80" s="21"/>
      <c r="X80" s="21"/>
      <c r="Y80" s="21"/>
    </row>
    <row r="81" spans="1:21" x14ac:dyDescent="0.25">
      <c r="A81" s="120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7" t="s">
        <v>37</v>
      </c>
      <c r="M81" s="12">
        <v>6.5</v>
      </c>
      <c r="N81" s="20">
        <f>15*(M81-12)</f>
        <v>-82.5</v>
      </c>
      <c r="O81" s="43">
        <f t="shared" si="29"/>
        <v>4.1699891745333471E-2</v>
      </c>
      <c r="P81" s="43">
        <f t="shared" si="30"/>
        <v>3.5847170307874869E-2</v>
      </c>
      <c r="Q81" s="43">
        <f t="shared" si="31"/>
        <v>0.92181227809423194</v>
      </c>
      <c r="R81" s="101">
        <f t="shared" ref="R81:R92" si="32">($G$80*$H$80)*(((P81-($I$80*O81))*Q81)+($I$80*O81*((1+COS(RADIANS($F$80)))/2))+($J$80*P81*((1-COS(RADIANS($F$80)))/2)))</f>
        <v>0.61762174698676053</v>
      </c>
      <c r="S81" s="115">
        <v>14</v>
      </c>
      <c r="T81" s="55"/>
      <c r="U81" s="21"/>
    </row>
    <row r="82" spans="1:21" x14ac:dyDescent="0.25">
      <c r="A82" s="120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7" t="s">
        <v>38</v>
      </c>
      <c r="M82" s="12">
        <v>7.5</v>
      </c>
      <c r="N82" s="20">
        <f t="shared" ref="N82:N94" si="33">15*(M82-12)</f>
        <v>-67.5</v>
      </c>
      <c r="O82" s="43">
        <f t="shared" si="29"/>
        <v>6.0168538164752108E-2</v>
      </c>
      <c r="P82" s="43">
        <f t="shared" si="30"/>
        <v>5.5752839354956354E-2</v>
      </c>
      <c r="Q82" s="43">
        <f t="shared" si="31"/>
        <v>0.99640209567678462</v>
      </c>
      <c r="R82" s="101">
        <f t="shared" si="32"/>
        <v>0.99322278587937618</v>
      </c>
      <c r="S82" s="115"/>
      <c r="T82" s="55"/>
      <c r="U82" s="21"/>
    </row>
    <row r="83" spans="1:21" x14ac:dyDescent="0.25">
      <c r="A83" s="120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7" t="s">
        <v>39</v>
      </c>
      <c r="M83" s="12">
        <v>8.5</v>
      </c>
      <c r="N83" s="20">
        <f t="shared" si="33"/>
        <v>-52.5</v>
      </c>
      <c r="O83" s="43">
        <f t="shared" si="29"/>
        <v>7.6727073548547201E-2</v>
      </c>
      <c r="P83" s="43">
        <f t="shared" si="30"/>
        <v>7.5702763414420671E-2</v>
      </c>
      <c r="Q83" s="43">
        <f t="shared" si="31"/>
        <v>1.0327477667643463</v>
      </c>
      <c r="R83" s="101">
        <f t="shared" si="32"/>
        <v>1.3738288153504146</v>
      </c>
      <c r="S83" s="115"/>
      <c r="T83" s="55"/>
      <c r="U83" s="21"/>
    </row>
    <row r="84" spans="1:21" x14ac:dyDescent="0.25">
      <c r="A84" s="120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7" t="s">
        <v>40</v>
      </c>
      <c r="M84" s="12">
        <v>9.5</v>
      </c>
      <c r="N84" s="20">
        <f t="shared" si="33"/>
        <v>-37.5</v>
      </c>
      <c r="O84" s="43">
        <f t="shared" si="29"/>
        <v>9.024706107458666E-2</v>
      </c>
      <c r="P84" s="43">
        <f t="shared" si="30"/>
        <v>9.3466301385020295E-2</v>
      </c>
      <c r="Q84" s="43">
        <f t="shared" si="31"/>
        <v>1.0525331038974011</v>
      </c>
      <c r="R84" s="101">
        <f t="shared" si="32"/>
        <v>1.7153383392929733</v>
      </c>
      <c r="S84" s="115"/>
      <c r="T84" s="3"/>
    </row>
    <row r="85" spans="1:21" x14ac:dyDescent="0.25">
      <c r="A85" s="120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7" t="s">
        <v>41</v>
      </c>
      <c r="M85" s="12">
        <v>10.5</v>
      </c>
      <c r="N85" s="20">
        <f t="shared" si="33"/>
        <v>-22.5</v>
      </c>
      <c r="O85" s="43">
        <f t="shared" si="29"/>
        <v>9.9807135935806701E-2</v>
      </c>
      <c r="P85" s="43">
        <f t="shared" si="30"/>
        <v>0.10682705317580106</v>
      </c>
      <c r="Q85" s="43">
        <f t="shared" si="31"/>
        <v>1.0632882297774795</v>
      </c>
      <c r="R85" s="101">
        <f t="shared" si="32"/>
        <v>1.9735042704622683</v>
      </c>
      <c r="S85" s="115"/>
      <c r="T85" s="3"/>
    </row>
    <row r="86" spans="1:21" x14ac:dyDescent="0.25">
      <c r="A86" s="120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7" t="s">
        <v>42</v>
      </c>
      <c r="M86" s="12">
        <v>11.5</v>
      </c>
      <c r="N86" s="20">
        <f t="shared" si="33"/>
        <v>-7.5</v>
      </c>
      <c r="O86" s="43">
        <f t="shared" si="29"/>
        <v>0.10475579482918587</v>
      </c>
      <c r="P86" s="43">
        <f t="shared" si="30"/>
        <v>0.1140034188865042</v>
      </c>
      <c r="Q86" s="43">
        <f t="shared" si="31"/>
        <v>1.0680844237121185</v>
      </c>
      <c r="R86" s="101">
        <f t="shared" si="32"/>
        <v>2.1125692031088317</v>
      </c>
      <c r="S86" s="115"/>
      <c r="T86" s="3"/>
    </row>
    <row r="87" spans="1:21" x14ac:dyDescent="0.25">
      <c r="A87" s="120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7" t="s">
        <v>43</v>
      </c>
      <c r="M87" s="12">
        <v>12.5</v>
      </c>
      <c r="N87" s="20">
        <f t="shared" si="33"/>
        <v>7.5</v>
      </c>
      <c r="O87" s="43">
        <f t="shared" si="29"/>
        <v>0.10475579482918587</v>
      </c>
      <c r="P87" s="43">
        <f t="shared" si="30"/>
        <v>0.1140034188865042</v>
      </c>
      <c r="Q87" s="43">
        <f t="shared" si="31"/>
        <v>1.0680844237121185</v>
      </c>
      <c r="R87" s="101">
        <f t="shared" si="32"/>
        <v>2.1125692031088317</v>
      </c>
      <c r="S87" s="115"/>
      <c r="T87" s="3"/>
    </row>
    <row r="88" spans="1:21" x14ac:dyDescent="0.25">
      <c r="A88" s="120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7" t="s">
        <v>44</v>
      </c>
      <c r="M88" s="12">
        <v>13.5</v>
      </c>
      <c r="N88" s="20">
        <f t="shared" si="33"/>
        <v>22.5</v>
      </c>
      <c r="O88" s="43">
        <f t="shared" si="29"/>
        <v>9.9807135935806701E-2</v>
      </c>
      <c r="P88" s="43">
        <f t="shared" si="30"/>
        <v>0.10682705317580106</v>
      </c>
      <c r="Q88" s="43">
        <f t="shared" si="31"/>
        <v>1.0632882297774795</v>
      </c>
      <c r="R88" s="101">
        <f t="shared" si="32"/>
        <v>1.9735042704622683</v>
      </c>
      <c r="S88" s="115"/>
      <c r="T88" s="3"/>
    </row>
    <row r="89" spans="1:21" x14ac:dyDescent="0.25">
      <c r="A89" s="120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7" t="s">
        <v>45</v>
      </c>
      <c r="M89" s="12">
        <v>14.5</v>
      </c>
      <c r="N89" s="20">
        <f t="shared" si="33"/>
        <v>37.5</v>
      </c>
      <c r="O89" s="43">
        <f t="shared" si="29"/>
        <v>9.024706107458666E-2</v>
      </c>
      <c r="P89" s="43">
        <f t="shared" si="30"/>
        <v>9.3466301385020295E-2</v>
      </c>
      <c r="Q89" s="43">
        <f t="shared" si="31"/>
        <v>1.0525331038974011</v>
      </c>
      <c r="R89" s="101">
        <f t="shared" si="32"/>
        <v>1.7153383392929733</v>
      </c>
      <c r="S89" s="115"/>
      <c r="T89" s="3"/>
    </row>
    <row r="90" spans="1:21" x14ac:dyDescent="0.25">
      <c r="A90" s="120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7" t="s">
        <v>46</v>
      </c>
      <c r="M90" s="12">
        <v>15.5</v>
      </c>
      <c r="N90" s="20">
        <f t="shared" si="33"/>
        <v>52.5</v>
      </c>
      <c r="O90" s="43">
        <f t="shared" si="29"/>
        <v>7.6727073548547201E-2</v>
      </c>
      <c r="P90" s="43">
        <f t="shared" si="30"/>
        <v>7.5702763414420671E-2</v>
      </c>
      <c r="Q90" s="43">
        <f t="shared" si="31"/>
        <v>1.0327477667643463</v>
      </c>
      <c r="R90" s="101">
        <f t="shared" si="32"/>
        <v>1.3738288153504146</v>
      </c>
      <c r="S90" s="115"/>
      <c r="T90" s="3"/>
    </row>
    <row r="91" spans="1:21" x14ac:dyDescent="0.25">
      <c r="A91" s="120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7" t="s">
        <v>47</v>
      </c>
      <c r="M91" s="12">
        <v>16.5</v>
      </c>
      <c r="N91" s="20">
        <f t="shared" si="33"/>
        <v>67.5</v>
      </c>
      <c r="O91" s="43">
        <f t="shared" si="29"/>
        <v>6.0168538164752108E-2</v>
      </c>
      <c r="P91" s="43">
        <f t="shared" si="30"/>
        <v>5.5752839354956354E-2</v>
      </c>
      <c r="Q91" s="43">
        <f t="shared" si="31"/>
        <v>0.99640209567678462</v>
      </c>
      <c r="R91" s="101">
        <f t="shared" si="32"/>
        <v>0.99322278587937618</v>
      </c>
      <c r="S91" s="115"/>
      <c r="T91" s="3"/>
    </row>
    <row r="92" spans="1:21" x14ac:dyDescent="0.25">
      <c r="A92" s="120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7" t="s">
        <v>48</v>
      </c>
      <c r="M92" s="12">
        <v>17.5</v>
      </c>
      <c r="N92" s="20">
        <f t="shared" si="33"/>
        <v>82.5</v>
      </c>
      <c r="O92" s="43">
        <f t="shared" si="29"/>
        <v>4.1699891745333471E-2</v>
      </c>
      <c r="P92" s="43">
        <f t="shared" si="30"/>
        <v>3.5847170307874869E-2</v>
      </c>
      <c r="Q92" s="43">
        <f t="shared" si="31"/>
        <v>0.92181227809423194</v>
      </c>
      <c r="R92" s="101">
        <f t="shared" si="32"/>
        <v>0.61762174698676053</v>
      </c>
      <c r="S92" s="115"/>
      <c r="T92" s="3"/>
    </row>
    <row r="93" spans="1:21" x14ac:dyDescent="0.25">
      <c r="A93" s="121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7" t="s">
        <v>85</v>
      </c>
      <c r="M93" s="12">
        <v>18.5</v>
      </c>
      <c r="N93" s="20">
        <f t="shared" si="33"/>
        <v>97.5</v>
      </c>
      <c r="O93" s="29">
        <f t="shared" si="29"/>
        <v>2.2579742022893395E-2</v>
      </c>
      <c r="P93" s="29">
        <f t="shared" si="30"/>
        <v>1.7845216890007516E-2</v>
      </c>
      <c r="Q93" s="43">
        <f t="shared" si="31"/>
        <v>0.71604029106593758</v>
      </c>
      <c r="R93" s="102">
        <f>($G$80*$H$80)*(((P93-($I$80*O93))*Q93)+($I$80*O93*((1+COS(RADIANS($F$80)))/2))+($J$80*P93*((1-COS(RADIANS($F$80)))/2)))</f>
        <v>0.28310917754267007</v>
      </c>
      <c r="S93" s="59"/>
      <c r="T93" s="3"/>
    </row>
    <row r="94" spans="1:21" x14ac:dyDescent="0.25">
      <c r="A94" s="111">
        <v>8</v>
      </c>
      <c r="B94" s="108" t="s">
        <v>62</v>
      </c>
      <c r="C94" s="108">
        <v>105.71759683820065</v>
      </c>
      <c r="D94" s="108">
        <f>0.409+0.5016*(SIN(RADIANS(C94-60)))</f>
        <v>0.76809905110867938</v>
      </c>
      <c r="E94" s="108">
        <f>0.6609-0.4767*(SIN(RADIANS(C94-60)))</f>
        <v>0.31962703815090215</v>
      </c>
      <c r="F94" s="108">
        <v>21</v>
      </c>
      <c r="G94" s="108">
        <v>0.46446491064156781</v>
      </c>
      <c r="H94" s="108">
        <v>34.568811619852539</v>
      </c>
      <c r="I94" s="108">
        <v>0.46422528587407319</v>
      </c>
      <c r="J94" s="108">
        <v>0.09</v>
      </c>
      <c r="K94" s="108">
        <v>13.454959682356431</v>
      </c>
      <c r="L94" s="17" t="s">
        <v>83</v>
      </c>
      <c r="M94" s="12">
        <v>5.5</v>
      </c>
      <c r="N94" s="20">
        <f t="shared" si="33"/>
        <v>-97.5</v>
      </c>
      <c r="O94" s="42">
        <f t="shared" ref="O94:O107" si="34">(PI()/24)*((COS(N94*PI()/180)-COS($C$94*PI()/180))/(SIN($C$94*PI()/180)-((PI()*$C$94/180)*COS($C$94*PI()/180))))</f>
        <v>1.2564154347990937E-2</v>
      </c>
      <c r="P94" s="42">
        <f t="shared" ref="P94:P107" si="35">($D$94+($E$94*COS(RADIANS(N94))))*O94</f>
        <v>9.1263422797536794E-3</v>
      </c>
      <c r="Q94" s="42">
        <f t="shared" ref="Q94:Q107" si="36">((COS((RADIANS($AI$4)-RADIANS($F$94)))*COS(RADIANS($K$94))*COS(RADIANS(N94)))+(SIN((RADIANS($AI$4)-RADIANS($F$94)))*SIN(RADIANS($K$94))))/((COS(RADIANS($AI$4))*COS(RADIANS($K$94))*COS(RADIANS(N94)))+(SIN(RADIANS($AI$4))*SIN(RADIANS($K$94))))</f>
        <v>-5.4543104554137412E-2</v>
      </c>
      <c r="R94" s="99">
        <f>($G$94*$H$94)*(((P94-($I$94*O94))*Q94)+($I$94*O94*((1+COS(RADIANS($F$94)))/2))+($J$94*P94*((1-COS(RADIANS($F$94)))/2)))</f>
        <v>8.809165056851001E-2</v>
      </c>
      <c r="S94" s="114">
        <v>14</v>
      </c>
      <c r="T94" s="3"/>
    </row>
    <row r="95" spans="1:21" x14ac:dyDescent="0.25">
      <c r="A95" s="112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7" t="s">
        <v>37</v>
      </c>
      <c r="M95" s="12">
        <v>6.5</v>
      </c>
      <c r="N95" s="20">
        <f>15*(M95-12)</f>
        <v>-82.5</v>
      </c>
      <c r="O95" s="43">
        <f t="shared" si="34"/>
        <v>3.593029140142668E-2</v>
      </c>
      <c r="P95" s="43">
        <f t="shared" si="35"/>
        <v>2.9097023717593689E-2</v>
      </c>
      <c r="Q95" s="43">
        <f t="shared" si="36"/>
        <v>0.85193456493763209</v>
      </c>
      <c r="R95" s="101">
        <f t="shared" ref="R95:R107" si="37">($G$94*$H$94)*(((P95-($I$94*O95))*Q95)+($I$94*O95*((1+COS(RADIANS($F$94)))/2))+($J$94*P95*((1-COS(RADIANS($F$94)))/2)))</f>
        <v>0.43016418357772296</v>
      </c>
      <c r="S95" s="115"/>
      <c r="T95" s="3"/>
    </row>
    <row r="96" spans="1:21" x14ac:dyDescent="0.25">
      <c r="A96" s="112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7" t="s">
        <v>38</v>
      </c>
      <c r="M96" s="12">
        <v>7.5</v>
      </c>
      <c r="N96" s="20">
        <f t="shared" ref="N96:N107" si="38">15*(M96-12)</f>
        <v>-67.5</v>
      </c>
      <c r="O96" s="43">
        <f t="shared" si="34"/>
        <v>5.8500246641950221E-2</v>
      </c>
      <c r="P96" s="43">
        <f t="shared" si="35"/>
        <v>5.2089498467677631E-2</v>
      </c>
      <c r="Q96" s="43">
        <f t="shared" si="36"/>
        <v>1.0399859142619641</v>
      </c>
      <c r="R96" s="101">
        <f t="shared" si="37"/>
        <v>0.84037484267196805</v>
      </c>
      <c r="S96" s="115"/>
      <c r="T96" s="3"/>
    </row>
    <row r="97" spans="1:20" x14ac:dyDescent="0.25">
      <c r="A97" s="112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7" t="s">
        <v>39</v>
      </c>
      <c r="M97" s="12">
        <v>8.5</v>
      </c>
      <c r="N97" s="20">
        <f t="shared" si="38"/>
        <v>-52.5</v>
      </c>
      <c r="O97" s="43">
        <f t="shared" si="34"/>
        <v>7.8735914918534447E-2</v>
      </c>
      <c r="P97" s="43">
        <f t="shared" si="35"/>
        <v>7.579714914360898E-2</v>
      </c>
      <c r="Q97" s="43">
        <f t="shared" si="36"/>
        <v>1.1169257347305339</v>
      </c>
      <c r="R97" s="101">
        <f t="shared" si="37"/>
        <v>1.2748255477061943</v>
      </c>
      <c r="S97" s="115"/>
      <c r="T97" s="3"/>
    </row>
    <row r="98" spans="1:20" x14ac:dyDescent="0.25">
      <c r="A98" s="112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7" t="s">
        <v>40</v>
      </c>
      <c r="M98" s="12">
        <v>9.5</v>
      </c>
      <c r="N98" s="20">
        <f t="shared" si="38"/>
        <v>-37.5</v>
      </c>
      <c r="O98" s="43">
        <f t="shared" si="34"/>
        <v>9.5258268879153132E-2</v>
      </c>
      <c r="P98" s="43">
        <f t="shared" si="35"/>
        <v>9.7323108974587125E-2</v>
      </c>
      <c r="Q98" s="43">
        <f t="shared" si="36"/>
        <v>1.1555055862019383</v>
      </c>
      <c r="R98" s="101">
        <f t="shared" si="37"/>
        <v>1.6762952854477211</v>
      </c>
      <c r="S98" s="115"/>
      <c r="T98" s="21"/>
    </row>
    <row r="99" spans="1:20" x14ac:dyDescent="0.25">
      <c r="A99" s="112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7" t="s">
        <v>41</v>
      </c>
      <c r="M99" s="12">
        <v>10.5</v>
      </c>
      <c r="N99" s="20">
        <f t="shared" si="38"/>
        <v>-22.5</v>
      </c>
      <c r="O99" s="43">
        <f t="shared" si="34"/>
        <v>0.106941337405871</v>
      </c>
      <c r="P99" s="43">
        <f t="shared" si="35"/>
        <v>0.11372098291338267</v>
      </c>
      <c r="Q99" s="43">
        <f t="shared" si="36"/>
        <v>1.1755906317437037</v>
      </c>
      <c r="R99" s="101">
        <f t="shared" si="37"/>
        <v>1.9855387534636837</v>
      </c>
      <c r="S99" s="115"/>
      <c r="T99" s="21"/>
    </row>
    <row r="100" spans="1:20" x14ac:dyDescent="0.25">
      <c r="A100" s="112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7" t="s">
        <v>42</v>
      </c>
      <c r="M100" s="12">
        <v>11.5</v>
      </c>
      <c r="N100" s="20">
        <f t="shared" si="38"/>
        <v>-7.5</v>
      </c>
      <c r="O100" s="43">
        <f t="shared" si="34"/>
        <v>0.11298893868577586</v>
      </c>
      <c r="P100" s="43">
        <f t="shared" si="35"/>
        <v>0.12259205339385364</v>
      </c>
      <c r="Q100" s="43">
        <f t="shared" si="36"/>
        <v>1.1843559119201668</v>
      </c>
      <c r="R100" s="101">
        <f t="shared" si="37"/>
        <v>2.1538676048094558</v>
      </c>
      <c r="S100" s="115"/>
      <c r="T100" s="21"/>
    </row>
    <row r="101" spans="1:20" x14ac:dyDescent="0.25">
      <c r="A101" s="112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7" t="s">
        <v>43</v>
      </c>
      <c r="M101" s="12">
        <v>12.5</v>
      </c>
      <c r="N101" s="20">
        <f t="shared" si="38"/>
        <v>7.5</v>
      </c>
      <c r="O101" s="43">
        <f t="shared" si="34"/>
        <v>0.11298893868577586</v>
      </c>
      <c r="P101" s="43">
        <f t="shared" si="35"/>
        <v>0.12259205339385364</v>
      </c>
      <c r="Q101" s="43">
        <f t="shared" si="36"/>
        <v>1.1843559119201668</v>
      </c>
      <c r="R101" s="101">
        <f t="shared" si="37"/>
        <v>2.1538676048094558</v>
      </c>
      <c r="S101" s="115"/>
      <c r="T101" s="21"/>
    </row>
    <row r="102" spans="1:20" x14ac:dyDescent="0.25">
      <c r="A102" s="112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7" t="s">
        <v>44</v>
      </c>
      <c r="M102" s="12">
        <v>13.5</v>
      </c>
      <c r="N102" s="20">
        <f t="shared" si="38"/>
        <v>22.5</v>
      </c>
      <c r="O102" s="43">
        <f t="shared" si="34"/>
        <v>0.106941337405871</v>
      </c>
      <c r="P102" s="43">
        <f t="shared" si="35"/>
        <v>0.11372098291338267</v>
      </c>
      <c r="Q102" s="43">
        <f t="shared" si="36"/>
        <v>1.1755906317437037</v>
      </c>
      <c r="R102" s="101">
        <f t="shared" si="37"/>
        <v>1.9855387534636837</v>
      </c>
      <c r="S102" s="115"/>
      <c r="T102" s="21"/>
    </row>
    <row r="103" spans="1:20" x14ac:dyDescent="0.25">
      <c r="A103" s="112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7" t="s">
        <v>45</v>
      </c>
      <c r="M103" s="12">
        <v>14.5</v>
      </c>
      <c r="N103" s="20">
        <f t="shared" si="38"/>
        <v>37.5</v>
      </c>
      <c r="O103" s="43">
        <f t="shared" si="34"/>
        <v>9.5258268879153132E-2</v>
      </c>
      <c r="P103" s="43">
        <f t="shared" si="35"/>
        <v>9.7323108974587125E-2</v>
      </c>
      <c r="Q103" s="43">
        <f t="shared" si="36"/>
        <v>1.1555055862019383</v>
      </c>
      <c r="R103" s="101">
        <f t="shared" si="37"/>
        <v>1.6762952854477211</v>
      </c>
      <c r="S103" s="115"/>
      <c r="T103" s="21"/>
    </row>
    <row r="104" spans="1:20" x14ac:dyDescent="0.25">
      <c r="A104" s="112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7" t="s">
        <v>46</v>
      </c>
      <c r="M104" s="12">
        <v>15.5</v>
      </c>
      <c r="N104" s="20">
        <f t="shared" si="38"/>
        <v>52.5</v>
      </c>
      <c r="O104" s="43">
        <f t="shared" si="34"/>
        <v>7.8735914918534447E-2</v>
      </c>
      <c r="P104" s="43">
        <f t="shared" si="35"/>
        <v>7.579714914360898E-2</v>
      </c>
      <c r="Q104" s="43">
        <f t="shared" si="36"/>
        <v>1.1169257347305339</v>
      </c>
      <c r="R104" s="101">
        <f t="shared" si="37"/>
        <v>1.2748255477061943</v>
      </c>
      <c r="S104" s="115"/>
      <c r="T104" s="21"/>
    </row>
    <row r="105" spans="1:20" x14ac:dyDescent="0.25">
      <c r="A105" s="112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7" t="s">
        <v>47</v>
      </c>
      <c r="M105" s="12">
        <v>16.5</v>
      </c>
      <c r="N105" s="20">
        <f t="shared" si="38"/>
        <v>67.5</v>
      </c>
      <c r="O105" s="43">
        <f t="shared" si="34"/>
        <v>5.8500246641950221E-2</v>
      </c>
      <c r="P105" s="43">
        <f t="shared" si="35"/>
        <v>5.2089498467677631E-2</v>
      </c>
      <c r="Q105" s="43">
        <f t="shared" si="36"/>
        <v>1.0399859142619641</v>
      </c>
      <c r="R105" s="101">
        <f t="shared" si="37"/>
        <v>0.84037484267196805</v>
      </c>
      <c r="S105" s="115"/>
      <c r="T105" s="21"/>
    </row>
    <row r="106" spans="1:20" x14ac:dyDescent="0.25">
      <c r="A106" s="112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7" t="s">
        <v>48</v>
      </c>
      <c r="M106" s="12">
        <v>17.5</v>
      </c>
      <c r="N106" s="20">
        <f t="shared" si="38"/>
        <v>82.5</v>
      </c>
      <c r="O106" s="43">
        <f t="shared" si="34"/>
        <v>3.593029140142668E-2</v>
      </c>
      <c r="P106" s="43">
        <f t="shared" si="35"/>
        <v>2.9097023717593689E-2</v>
      </c>
      <c r="Q106" s="43">
        <f t="shared" si="36"/>
        <v>0.85193456493763209</v>
      </c>
      <c r="R106" s="101">
        <f t="shared" si="37"/>
        <v>0.43016418357772296</v>
      </c>
      <c r="S106" s="115"/>
      <c r="T106" s="21"/>
    </row>
    <row r="107" spans="1:20" x14ac:dyDescent="0.25">
      <c r="A107" s="113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7" t="s">
        <v>85</v>
      </c>
      <c r="M107" s="12">
        <v>18.5</v>
      </c>
      <c r="N107" s="20">
        <f t="shared" si="38"/>
        <v>97.5</v>
      </c>
      <c r="O107" s="29">
        <f t="shared" si="34"/>
        <v>1.2564154347990937E-2</v>
      </c>
      <c r="P107" s="29">
        <f t="shared" si="35"/>
        <v>9.1263422797536794E-3</v>
      </c>
      <c r="Q107" s="29">
        <f t="shared" si="36"/>
        <v>-5.4543104554137412E-2</v>
      </c>
      <c r="R107" s="102">
        <f t="shared" si="37"/>
        <v>8.809165056851001E-2</v>
      </c>
      <c r="S107" s="116"/>
      <c r="T107" s="21"/>
    </row>
    <row r="108" spans="1:20" x14ac:dyDescent="0.25">
      <c r="A108" s="122">
        <v>9</v>
      </c>
      <c r="B108" s="118" t="s">
        <v>63</v>
      </c>
      <c r="C108" s="118">
        <v>92.512203454174994</v>
      </c>
      <c r="D108" s="118">
        <f t="shared" ref="D108" si="39">0.409+0.5016*(SIN(RADIANS(C108-60)))</f>
        <v>0.67859958201196224</v>
      </c>
      <c r="E108" s="118">
        <f>0.6609-0.4767*(SIN(RADIANS(C108-60)))</f>
        <v>0.40468365082714836</v>
      </c>
      <c r="F108" s="118">
        <v>36</v>
      </c>
      <c r="G108" s="108">
        <v>0.44097070324163795</v>
      </c>
      <c r="H108" s="108">
        <v>26.369098705471654</v>
      </c>
      <c r="I108" s="108">
        <v>0.48863538987664923</v>
      </c>
      <c r="J108" s="108">
        <v>0.1</v>
      </c>
      <c r="K108" s="108">
        <v>2.2168867832133459</v>
      </c>
      <c r="L108" s="17" t="s">
        <v>37</v>
      </c>
      <c r="M108" s="12">
        <v>6.5</v>
      </c>
      <c r="N108" s="20">
        <f>15*(M108-12)</f>
        <v>-82.5</v>
      </c>
      <c r="O108" s="28">
        <f>(PI()/24)*((COS(N108*PI()/180)-COS($C$108*PI()/180))/(SIN($C$108*PI()/180)-((PI()*$C$108/180)*COS($C$108*PI()/180))))</f>
        <v>2.1334077836015108E-2</v>
      </c>
      <c r="P108" s="54">
        <f t="shared" ref="P108:P119" si="40">($D$108+($E$108*COS(RADIANS(N108))))*O108</f>
        <v>1.5604201036032621E-2</v>
      </c>
      <c r="Q108" s="43">
        <f t="shared" ref="Q108:Q119" si="41">((COS((RADIANS($AI$4)-RADIANS($F$108)))*COS(RADIANS($K$108))*COS(RADIANS(N108)))+(SIN((RADIANS($AI$4)-RADIANS($F$108)))*SIN(RADIANS($K$108))))/((COS(RADIANS($AI$4))*COS(RADIANS($K$108))*COS(RADIANS(N108)))+(SIN(RADIANS($AI$4))*SIN(RADIANS($K$108))))</f>
        <v>1.1767449505653609</v>
      </c>
      <c r="R108" s="99">
        <f>($G$108*$H$108)*(((P108-($I$108*O108))*Q108)+($I$108*O108*((1+COS(RADIANS($F$108)))/2))+($J$108*P108*((1-COS(RADIANS($F$108)))/2)))</f>
        <v>0.18224819598624334</v>
      </c>
      <c r="S108" s="115">
        <v>12</v>
      </c>
      <c r="T108" s="21"/>
    </row>
    <row r="109" spans="1:20" x14ac:dyDescent="0.25">
      <c r="A109" s="122"/>
      <c r="B109" s="118"/>
      <c r="C109" s="118"/>
      <c r="D109" s="118"/>
      <c r="E109" s="118"/>
      <c r="F109" s="118"/>
      <c r="G109" s="109"/>
      <c r="H109" s="109"/>
      <c r="I109" s="109"/>
      <c r="J109" s="109"/>
      <c r="K109" s="109"/>
      <c r="L109" s="17" t="s">
        <v>38</v>
      </c>
      <c r="M109" s="12">
        <v>7.5</v>
      </c>
      <c r="N109" s="20">
        <f t="shared" ref="N109:N119" si="42">15*(M109-12)</f>
        <v>-67.5</v>
      </c>
      <c r="O109" s="28">
        <f t="shared" ref="O109:O119" si="43">(PI()/24)*((COS(N109*PI()/180)-COS($C$108*PI()/180))/(SIN($C$108*PI()/180)-((PI()*$C$108/180)*COS($C$108*PI()/180))))</f>
        <v>5.2187442096054339E-2</v>
      </c>
      <c r="P109" s="54">
        <f t="shared" si="40"/>
        <v>4.3496422632486403E-2</v>
      </c>
      <c r="Q109" s="43">
        <f t="shared" si="41"/>
        <v>1.3528121469099226</v>
      </c>
      <c r="R109" s="101">
        <f t="shared" ref="R109:R119" si="44">($G$108*$H$108)*(((P109-($I$108*O109))*Q109)+($I$108*O109*((1+COS(RADIANS($F$108)))/2))+($J$108*P109*((1-COS(RADIANS($F$108)))/2)))</f>
        <v>0.55611859730351432</v>
      </c>
      <c r="S109" s="115"/>
      <c r="T109" s="21"/>
    </row>
    <row r="110" spans="1:20" x14ac:dyDescent="0.25">
      <c r="A110" s="122"/>
      <c r="B110" s="118"/>
      <c r="C110" s="118"/>
      <c r="D110" s="118"/>
      <c r="E110" s="118"/>
      <c r="F110" s="118"/>
      <c r="G110" s="109"/>
      <c r="H110" s="109"/>
      <c r="I110" s="109"/>
      <c r="J110" s="109"/>
      <c r="K110" s="109"/>
      <c r="L110" s="17" t="s">
        <v>39</v>
      </c>
      <c r="M110" s="12">
        <v>8.5</v>
      </c>
      <c r="N110" s="20">
        <f t="shared" si="42"/>
        <v>-52.5</v>
      </c>
      <c r="O110" s="28">
        <f t="shared" si="43"/>
        <v>7.9849811725471967E-2</v>
      </c>
      <c r="P110" s="54">
        <f t="shared" si="40"/>
        <v>7.3857512914401624E-2</v>
      </c>
      <c r="Q110" s="43">
        <f t="shared" si="41"/>
        <v>1.394988136467826</v>
      </c>
      <c r="R110" s="101">
        <f t="shared" si="44"/>
        <v>0.98370983464987116</v>
      </c>
      <c r="S110" s="115"/>
      <c r="T110" s="21"/>
    </row>
    <row r="111" spans="1:20" x14ac:dyDescent="0.25">
      <c r="A111" s="122"/>
      <c r="B111" s="118"/>
      <c r="C111" s="118"/>
      <c r="D111" s="118"/>
      <c r="E111" s="118"/>
      <c r="F111" s="118"/>
      <c r="G111" s="109"/>
      <c r="H111" s="109"/>
      <c r="I111" s="109"/>
      <c r="J111" s="109"/>
      <c r="K111" s="109"/>
      <c r="L111" s="17" t="s">
        <v>40</v>
      </c>
      <c r="M111" s="12">
        <v>9.5</v>
      </c>
      <c r="N111" s="20">
        <f t="shared" si="42"/>
        <v>-37.5</v>
      </c>
      <c r="O111" s="28">
        <f t="shared" si="43"/>
        <v>0.10243604194825043</v>
      </c>
      <c r="P111" s="54">
        <f t="shared" si="40"/>
        <v>0.10240087649061345</v>
      </c>
      <c r="Q111" s="43">
        <f t="shared" si="41"/>
        <v>1.412532308336212</v>
      </c>
      <c r="R111" s="101">
        <f t="shared" si="44"/>
        <v>1.3976138240007774</v>
      </c>
      <c r="S111" s="115"/>
      <c r="T111" s="21"/>
    </row>
    <row r="112" spans="1:20" x14ac:dyDescent="0.25">
      <c r="A112" s="122"/>
      <c r="B112" s="118"/>
      <c r="C112" s="118"/>
      <c r="D112" s="118"/>
      <c r="E112" s="118"/>
      <c r="F112" s="118"/>
      <c r="G112" s="109"/>
      <c r="H112" s="109"/>
      <c r="I112" s="109"/>
      <c r="J112" s="109"/>
      <c r="K112" s="109"/>
      <c r="L112" s="17" t="s">
        <v>41</v>
      </c>
      <c r="M112" s="12">
        <v>10.5</v>
      </c>
      <c r="N112" s="20">
        <f t="shared" si="42"/>
        <v>-22.5</v>
      </c>
      <c r="O112" s="28">
        <f t="shared" si="43"/>
        <v>0.1184069185002176</v>
      </c>
      <c r="P112" s="54">
        <f t="shared" si="40"/>
        <v>0.12462073883262648</v>
      </c>
      <c r="Q112" s="43">
        <f t="shared" si="41"/>
        <v>1.4208982473229563</v>
      </c>
      <c r="R112" s="101">
        <f t="shared" si="44"/>
        <v>1.7254350951815158</v>
      </c>
      <c r="S112" s="115"/>
      <c r="T112" s="21"/>
    </row>
    <row r="113" spans="1:30" x14ac:dyDescent="0.25">
      <c r="A113" s="122"/>
      <c r="B113" s="118"/>
      <c r="C113" s="118"/>
      <c r="D113" s="118"/>
      <c r="E113" s="118"/>
      <c r="F113" s="118"/>
      <c r="G113" s="109"/>
      <c r="H113" s="109"/>
      <c r="I113" s="109"/>
      <c r="J113" s="109"/>
      <c r="K113" s="109"/>
      <c r="L113" s="17" t="s">
        <v>42</v>
      </c>
      <c r="M113" s="12">
        <v>11.5</v>
      </c>
      <c r="N113" s="20">
        <f t="shared" si="42"/>
        <v>-7.5</v>
      </c>
      <c r="O113" s="28">
        <f t="shared" si="43"/>
        <v>0.1266740525374784</v>
      </c>
      <c r="P113" s="54">
        <f t="shared" si="40"/>
        <v>0.13678531577936495</v>
      </c>
      <c r="Q113" s="43">
        <f t="shared" si="41"/>
        <v>1.4244001658976231</v>
      </c>
      <c r="R113" s="101">
        <f t="shared" si="44"/>
        <v>1.9065647224840729</v>
      </c>
      <c r="S113" s="115"/>
      <c r="T113" s="21"/>
    </row>
    <row r="114" spans="1:30" x14ac:dyDescent="0.25">
      <c r="A114" s="122"/>
      <c r="B114" s="118"/>
      <c r="C114" s="118"/>
      <c r="D114" s="118"/>
      <c r="E114" s="118"/>
      <c r="F114" s="118"/>
      <c r="G114" s="109"/>
      <c r="H114" s="109"/>
      <c r="I114" s="109"/>
      <c r="J114" s="109"/>
      <c r="K114" s="109"/>
      <c r="L114" s="17" t="s">
        <v>43</v>
      </c>
      <c r="M114" s="12">
        <v>12.5</v>
      </c>
      <c r="N114" s="20">
        <f t="shared" si="42"/>
        <v>7.5</v>
      </c>
      <c r="O114" s="28">
        <f t="shared" si="43"/>
        <v>0.1266740525374784</v>
      </c>
      <c r="P114" s="54">
        <f t="shared" si="40"/>
        <v>0.13678531577936495</v>
      </c>
      <c r="Q114" s="43">
        <f t="shared" si="41"/>
        <v>1.4244001658976231</v>
      </c>
      <c r="R114" s="101">
        <f t="shared" si="44"/>
        <v>1.9065647224840729</v>
      </c>
      <c r="S114" s="115"/>
      <c r="T114" s="21"/>
    </row>
    <row r="115" spans="1:30" x14ac:dyDescent="0.25">
      <c r="A115" s="122"/>
      <c r="B115" s="118"/>
      <c r="C115" s="118"/>
      <c r="D115" s="118"/>
      <c r="E115" s="118"/>
      <c r="F115" s="118"/>
      <c r="G115" s="109"/>
      <c r="H115" s="109"/>
      <c r="I115" s="109"/>
      <c r="J115" s="109"/>
      <c r="K115" s="109"/>
      <c r="L115" s="17" t="s">
        <v>44</v>
      </c>
      <c r="M115" s="12">
        <v>13.5</v>
      </c>
      <c r="N115" s="20">
        <f t="shared" si="42"/>
        <v>22.5</v>
      </c>
      <c r="O115" s="28">
        <f t="shared" si="43"/>
        <v>0.1184069185002176</v>
      </c>
      <c r="P115" s="54">
        <f t="shared" si="40"/>
        <v>0.12462073883262648</v>
      </c>
      <c r="Q115" s="43">
        <f t="shared" si="41"/>
        <v>1.4208982473229563</v>
      </c>
      <c r="R115" s="101">
        <f t="shared" si="44"/>
        <v>1.7254350951815158</v>
      </c>
      <c r="S115" s="115"/>
      <c r="T115" s="21"/>
    </row>
    <row r="116" spans="1:30" x14ac:dyDescent="0.25">
      <c r="A116" s="122"/>
      <c r="B116" s="118"/>
      <c r="C116" s="118"/>
      <c r="D116" s="118"/>
      <c r="E116" s="118"/>
      <c r="F116" s="118"/>
      <c r="G116" s="109"/>
      <c r="H116" s="109"/>
      <c r="I116" s="109"/>
      <c r="J116" s="109"/>
      <c r="K116" s="109"/>
      <c r="L116" s="17" t="s">
        <v>45</v>
      </c>
      <c r="M116" s="12">
        <v>14.5</v>
      </c>
      <c r="N116" s="20">
        <f t="shared" si="42"/>
        <v>37.5</v>
      </c>
      <c r="O116" s="28">
        <f t="shared" si="43"/>
        <v>0.10243604194825043</v>
      </c>
      <c r="P116" s="54">
        <f t="shared" si="40"/>
        <v>0.10240087649061345</v>
      </c>
      <c r="Q116" s="43">
        <f t="shared" si="41"/>
        <v>1.412532308336212</v>
      </c>
      <c r="R116" s="101">
        <f t="shared" si="44"/>
        <v>1.3976138240007774</v>
      </c>
      <c r="S116" s="115"/>
      <c r="T116" s="21"/>
    </row>
    <row r="117" spans="1:30" x14ac:dyDescent="0.25">
      <c r="A117" s="122"/>
      <c r="B117" s="118"/>
      <c r="C117" s="118"/>
      <c r="D117" s="118"/>
      <c r="E117" s="118"/>
      <c r="F117" s="118"/>
      <c r="G117" s="109"/>
      <c r="H117" s="109"/>
      <c r="I117" s="109"/>
      <c r="J117" s="109"/>
      <c r="K117" s="109"/>
      <c r="L117" s="17" t="s">
        <v>46</v>
      </c>
      <c r="M117" s="12">
        <v>15.5</v>
      </c>
      <c r="N117" s="20">
        <f t="shared" si="42"/>
        <v>52.5</v>
      </c>
      <c r="O117" s="28">
        <f t="shared" si="43"/>
        <v>7.9849811725471967E-2</v>
      </c>
      <c r="P117" s="54">
        <f t="shared" si="40"/>
        <v>7.3857512914401624E-2</v>
      </c>
      <c r="Q117" s="43">
        <f t="shared" si="41"/>
        <v>1.394988136467826</v>
      </c>
      <c r="R117" s="101">
        <f t="shared" si="44"/>
        <v>0.98370983464987116</v>
      </c>
      <c r="S117" s="115"/>
      <c r="T117" s="21"/>
    </row>
    <row r="118" spans="1:30" x14ac:dyDescent="0.25">
      <c r="A118" s="122"/>
      <c r="B118" s="118"/>
      <c r="C118" s="118"/>
      <c r="D118" s="118"/>
      <c r="E118" s="118"/>
      <c r="F118" s="118"/>
      <c r="G118" s="109"/>
      <c r="H118" s="109"/>
      <c r="I118" s="109"/>
      <c r="J118" s="109"/>
      <c r="K118" s="109"/>
      <c r="L118" s="17" t="s">
        <v>47</v>
      </c>
      <c r="M118" s="12">
        <v>16.5</v>
      </c>
      <c r="N118" s="20">
        <f t="shared" si="42"/>
        <v>67.5</v>
      </c>
      <c r="O118" s="28">
        <f t="shared" si="43"/>
        <v>5.2187442096054339E-2</v>
      </c>
      <c r="P118" s="54">
        <f t="shared" si="40"/>
        <v>4.3496422632486403E-2</v>
      </c>
      <c r="Q118" s="43">
        <f t="shared" si="41"/>
        <v>1.3528121469099226</v>
      </c>
      <c r="R118" s="101">
        <f t="shared" si="44"/>
        <v>0.55611859730351432</v>
      </c>
      <c r="S118" s="115"/>
      <c r="T118" s="21"/>
    </row>
    <row r="119" spans="1:30" x14ac:dyDescent="0.25">
      <c r="A119" s="122"/>
      <c r="B119" s="118"/>
      <c r="C119" s="118"/>
      <c r="D119" s="118"/>
      <c r="E119" s="118"/>
      <c r="F119" s="118"/>
      <c r="G119" s="110"/>
      <c r="H119" s="110"/>
      <c r="I119" s="110"/>
      <c r="J119" s="110"/>
      <c r="K119" s="110"/>
      <c r="L119" s="17" t="s">
        <v>48</v>
      </c>
      <c r="M119" s="12">
        <v>17.5</v>
      </c>
      <c r="N119" s="20">
        <f t="shared" si="42"/>
        <v>82.5</v>
      </c>
      <c r="O119" s="29">
        <f t="shared" si="43"/>
        <v>2.1334077836015108E-2</v>
      </c>
      <c r="P119" s="47">
        <f t="shared" si="40"/>
        <v>1.5604201036032621E-2</v>
      </c>
      <c r="Q119" s="29">
        <f t="shared" si="41"/>
        <v>1.1767449505653609</v>
      </c>
      <c r="R119" s="102">
        <f t="shared" si="44"/>
        <v>0.18224819598624334</v>
      </c>
      <c r="S119" s="116"/>
      <c r="T119" s="21"/>
    </row>
    <row r="120" spans="1:30" x14ac:dyDescent="0.25">
      <c r="A120" s="122">
        <v>10</v>
      </c>
      <c r="B120" s="118" t="s">
        <v>64</v>
      </c>
      <c r="C120" s="118">
        <v>78.959709277416707</v>
      </c>
      <c r="D120" s="118">
        <f t="shared" ref="D120" si="45">0.409+0.5016*(SIN(RADIANS(C120-60)))</f>
        <v>0.57197143503796632</v>
      </c>
      <c r="E120" s="118">
        <f>0.6609-0.4767*(SIN(RADIANS(C120-60)))</f>
        <v>0.5060186541415499</v>
      </c>
      <c r="F120" s="118">
        <v>54</v>
      </c>
      <c r="G120" s="108">
        <v>0.3955052171088802</v>
      </c>
      <c r="H120" s="108">
        <v>17.749449808312985</v>
      </c>
      <c r="I120" s="108">
        <v>0.5060540951364545</v>
      </c>
      <c r="J120" s="108">
        <v>0.09</v>
      </c>
      <c r="K120" s="108">
        <v>-9.5993972342263376</v>
      </c>
      <c r="L120" s="17" t="s">
        <v>37</v>
      </c>
      <c r="M120" s="12">
        <v>6.5</v>
      </c>
      <c r="N120" s="20">
        <f>15*(M120-12)</f>
        <v>-82.5</v>
      </c>
      <c r="O120" s="25">
        <f>(PI()/24)*((COS(N120*PI()/180)-COS($C$120*PI()/180))/(SIN($C$120*PI()/180)-((PI()*$C$120/180)*COS($C$120*PI()/180))))</f>
        <v>-1.1122497732431142E-2</v>
      </c>
      <c r="P120" s="25">
        <f t="shared" ref="P120:P131" si="46">($D$120+($E$120*COS(RADIANS(N120))))*O120</f>
        <v>-7.096377373041131E-3</v>
      </c>
      <c r="Q120" s="28">
        <f t="shared" ref="Q120:Q131" si="47">((COS((RADIANS($AI$4)-RADIANS($F$120)))*COS(RADIANS($K$120))*COS(RADIANS(N120)))+(SIN((RADIANS($AI$4)-RADIANS($F$120)))*SIN(RADIANS($K$120))))/((COS(RADIANS($AI$4))*COS(RADIANS($K$120))*COS(RADIANS(N120)))+(SIN(RADIANS($AI$4))*SIN(RADIANS($K$120))))</f>
        <v>-3.6172376702216034</v>
      </c>
      <c r="R120" s="64" t="s">
        <v>81</v>
      </c>
      <c r="S120" s="114">
        <v>10</v>
      </c>
      <c r="T120" s="21"/>
    </row>
    <row r="121" spans="1:30" x14ac:dyDescent="0.25">
      <c r="A121" s="122"/>
      <c r="B121" s="118"/>
      <c r="C121" s="118"/>
      <c r="D121" s="118"/>
      <c r="E121" s="118"/>
      <c r="F121" s="118"/>
      <c r="G121" s="109"/>
      <c r="H121" s="109"/>
      <c r="I121" s="109"/>
      <c r="J121" s="109"/>
      <c r="K121" s="109"/>
      <c r="L121" s="17" t="s">
        <v>38</v>
      </c>
      <c r="M121" s="12">
        <v>7.5</v>
      </c>
      <c r="N121" s="20">
        <f t="shared" ref="N121:N131" si="48">15*(M121-12)</f>
        <v>-67.5</v>
      </c>
      <c r="O121" s="28">
        <f t="shared" ref="O121:O130" si="49">(PI()/24)*((COS(N121*PI()/180)-COS($C$120*PI()/180))/(SIN($C$120*PI()/180)-((PI()*$C$120/180)*COS($C$120*PI()/180))))</f>
        <v>3.4875180062053902E-2</v>
      </c>
      <c r="P121" s="28">
        <f t="shared" si="46"/>
        <v>2.6701009475250691E-2</v>
      </c>
      <c r="Q121" s="28">
        <f t="shared" si="47"/>
        <v>3.1370460373142088</v>
      </c>
      <c r="R121" s="97">
        <f>($G$120*$H$120)*(((P121-($I$120*O121))*Q121)+($I$120*O121*((1+COS(RADIANS($F$120)))/2))+($J$120*P121*((1-COS(RADIANS($F$120)))/2)))</f>
        <v>0.301185477853259</v>
      </c>
      <c r="S121" s="115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x14ac:dyDescent="0.25">
      <c r="A122" s="122"/>
      <c r="B122" s="118"/>
      <c r="C122" s="118"/>
      <c r="D122" s="118"/>
      <c r="E122" s="118"/>
      <c r="F122" s="118"/>
      <c r="G122" s="109"/>
      <c r="H122" s="109"/>
      <c r="I122" s="109"/>
      <c r="J122" s="109"/>
      <c r="K122" s="109"/>
      <c r="L122" s="17" t="s">
        <v>39</v>
      </c>
      <c r="M122" s="12">
        <v>8.5</v>
      </c>
      <c r="N122" s="20">
        <f t="shared" si="48"/>
        <v>-52.5</v>
      </c>
      <c r="O122" s="28">
        <f t="shared" si="49"/>
        <v>7.6115569749278314E-2</v>
      </c>
      <c r="P122" s="28">
        <f t="shared" si="46"/>
        <v>6.6982924863944179E-2</v>
      </c>
      <c r="Q122" s="28">
        <f t="shared" si="47"/>
        <v>2.2521444467196758</v>
      </c>
      <c r="R122" s="97">
        <f t="shared" ref="R122:R130" si="50">($G$120*$H$120)*(((P122-($I$120*O122))*Q122)+($I$120*O122*((1+COS(RADIANS($F$120)))/2))+($J$120*P122*((1-COS(RADIANS($F$120)))/2)))</f>
        <v>0.67341400239062932</v>
      </c>
      <c r="S122" s="115"/>
      <c r="T122" s="21"/>
    </row>
    <row r="123" spans="1:30" x14ac:dyDescent="0.25">
      <c r="A123" s="122"/>
      <c r="B123" s="118"/>
      <c r="C123" s="118"/>
      <c r="D123" s="118"/>
      <c r="E123" s="118"/>
      <c r="F123" s="118"/>
      <c r="G123" s="109"/>
      <c r="H123" s="109"/>
      <c r="I123" s="109"/>
      <c r="J123" s="109"/>
      <c r="K123" s="109"/>
      <c r="L123" s="17" t="s">
        <v>40</v>
      </c>
      <c r="M123" s="12">
        <v>9.5</v>
      </c>
      <c r="N123" s="20">
        <f t="shared" si="48"/>
        <v>-37.5</v>
      </c>
      <c r="O123" s="28">
        <f t="shared" si="49"/>
        <v>0.10978820692502411</v>
      </c>
      <c r="P123" s="28">
        <f t="shared" si="46"/>
        <v>0.10687036844497047</v>
      </c>
      <c r="Q123" s="28">
        <f t="shared" si="47"/>
        <v>2.0226299549098576</v>
      </c>
      <c r="R123" s="97">
        <f t="shared" si="50"/>
        <v>1.0521188577053526</v>
      </c>
      <c r="S123" s="115"/>
      <c r="T123" s="21"/>
    </row>
    <row r="124" spans="1:30" x14ac:dyDescent="0.25">
      <c r="A124" s="122"/>
      <c r="B124" s="118"/>
      <c r="C124" s="118"/>
      <c r="D124" s="118"/>
      <c r="E124" s="118"/>
      <c r="F124" s="118"/>
      <c r="G124" s="109"/>
      <c r="H124" s="109"/>
      <c r="I124" s="109"/>
      <c r="J124" s="109"/>
      <c r="K124" s="109"/>
      <c r="L124" s="17" t="s">
        <v>41</v>
      </c>
      <c r="M124" s="12">
        <v>10.5</v>
      </c>
      <c r="N124" s="20">
        <f t="shared" si="48"/>
        <v>-22.5</v>
      </c>
      <c r="O124" s="28">
        <f t="shared" si="49"/>
        <v>0.1335983570124282</v>
      </c>
      <c r="P124" s="28">
        <f t="shared" si="46"/>
        <v>0.13887171297337331</v>
      </c>
      <c r="Q124" s="28">
        <f t="shared" si="47"/>
        <v>1.9301670571264682</v>
      </c>
      <c r="R124" s="97">
        <f t="shared" si="50"/>
        <v>1.3604787539769458</v>
      </c>
      <c r="S124" s="115"/>
      <c r="T124" s="21"/>
    </row>
    <row r="125" spans="1:30" x14ac:dyDescent="0.25">
      <c r="A125" s="122"/>
      <c r="B125" s="118"/>
      <c r="C125" s="118"/>
      <c r="D125" s="118"/>
      <c r="E125" s="118"/>
      <c r="F125" s="118"/>
      <c r="G125" s="109"/>
      <c r="H125" s="109"/>
      <c r="I125" s="109"/>
      <c r="J125" s="109"/>
      <c r="K125" s="109"/>
      <c r="L125" s="17" t="s">
        <v>42</v>
      </c>
      <c r="M125" s="12">
        <v>11.5</v>
      </c>
      <c r="N125" s="20">
        <f t="shared" si="48"/>
        <v>-7.5</v>
      </c>
      <c r="O125" s="28">
        <f t="shared" si="49"/>
        <v>0.14592339763116743</v>
      </c>
      <c r="P125" s="28">
        <f t="shared" si="46"/>
        <v>0.15667226532092224</v>
      </c>
      <c r="Q125" s="28">
        <f t="shared" si="47"/>
        <v>1.89415694402322</v>
      </c>
      <c r="R125" s="97">
        <f t="shared" si="50"/>
        <v>1.5333007642545511</v>
      </c>
      <c r="S125" s="115"/>
      <c r="T125" s="21"/>
    </row>
    <row r="126" spans="1:30" x14ac:dyDescent="0.25">
      <c r="A126" s="122"/>
      <c r="B126" s="118"/>
      <c r="C126" s="118"/>
      <c r="D126" s="118"/>
      <c r="E126" s="118"/>
      <c r="F126" s="118"/>
      <c r="G126" s="109"/>
      <c r="H126" s="109"/>
      <c r="I126" s="109"/>
      <c r="J126" s="109"/>
      <c r="K126" s="109"/>
      <c r="L126" s="17" t="s">
        <v>43</v>
      </c>
      <c r="M126" s="12">
        <v>12.5</v>
      </c>
      <c r="N126" s="20">
        <f t="shared" si="48"/>
        <v>7.5</v>
      </c>
      <c r="O126" s="28">
        <f t="shared" si="49"/>
        <v>0.14592339763116743</v>
      </c>
      <c r="P126" s="28">
        <f t="shared" si="46"/>
        <v>0.15667226532092224</v>
      </c>
      <c r="Q126" s="28">
        <f t="shared" si="47"/>
        <v>1.89415694402322</v>
      </c>
      <c r="R126" s="97">
        <f t="shared" si="50"/>
        <v>1.5333007642545511</v>
      </c>
      <c r="S126" s="115"/>
      <c r="T126" s="21"/>
    </row>
    <row r="127" spans="1:30" x14ac:dyDescent="0.25">
      <c r="A127" s="122"/>
      <c r="B127" s="118"/>
      <c r="C127" s="118"/>
      <c r="D127" s="118"/>
      <c r="E127" s="118"/>
      <c r="F127" s="118"/>
      <c r="G127" s="109"/>
      <c r="H127" s="109"/>
      <c r="I127" s="109"/>
      <c r="J127" s="109"/>
      <c r="K127" s="109"/>
      <c r="L127" s="17" t="s">
        <v>44</v>
      </c>
      <c r="M127" s="12">
        <v>13.5</v>
      </c>
      <c r="N127" s="20">
        <f t="shared" si="48"/>
        <v>22.5</v>
      </c>
      <c r="O127" s="28">
        <f t="shared" si="49"/>
        <v>0.1335983570124282</v>
      </c>
      <c r="P127" s="28">
        <f t="shared" si="46"/>
        <v>0.13887171297337331</v>
      </c>
      <c r="Q127" s="28">
        <f t="shared" si="47"/>
        <v>1.9301670571264682</v>
      </c>
      <c r="R127" s="97">
        <f t="shared" si="50"/>
        <v>1.3604787539769458</v>
      </c>
      <c r="S127" s="115"/>
      <c r="T127" s="21"/>
    </row>
    <row r="128" spans="1:30" x14ac:dyDescent="0.25">
      <c r="A128" s="122"/>
      <c r="B128" s="118"/>
      <c r="C128" s="118"/>
      <c r="D128" s="118"/>
      <c r="E128" s="118"/>
      <c r="F128" s="118"/>
      <c r="G128" s="109"/>
      <c r="H128" s="109"/>
      <c r="I128" s="109"/>
      <c r="J128" s="109"/>
      <c r="K128" s="109"/>
      <c r="L128" s="17" t="s">
        <v>45</v>
      </c>
      <c r="M128" s="12">
        <v>14.5</v>
      </c>
      <c r="N128" s="20">
        <f t="shared" si="48"/>
        <v>37.5</v>
      </c>
      <c r="O128" s="28">
        <f t="shared" si="49"/>
        <v>0.10978820692502411</v>
      </c>
      <c r="P128" s="28">
        <f t="shared" si="46"/>
        <v>0.10687036844497047</v>
      </c>
      <c r="Q128" s="28">
        <f t="shared" si="47"/>
        <v>2.0226299549098576</v>
      </c>
      <c r="R128" s="97">
        <f t="shared" si="50"/>
        <v>1.0521188577053526</v>
      </c>
      <c r="S128" s="115"/>
      <c r="T128" s="21"/>
    </row>
    <row r="129" spans="1:20" x14ac:dyDescent="0.25">
      <c r="A129" s="122"/>
      <c r="B129" s="118"/>
      <c r="C129" s="118"/>
      <c r="D129" s="118"/>
      <c r="E129" s="118"/>
      <c r="F129" s="118"/>
      <c r="G129" s="109"/>
      <c r="H129" s="109"/>
      <c r="I129" s="109"/>
      <c r="J129" s="109"/>
      <c r="K129" s="109"/>
      <c r="L129" s="17" t="s">
        <v>46</v>
      </c>
      <c r="M129" s="12">
        <v>15.5</v>
      </c>
      <c r="N129" s="20">
        <f t="shared" si="48"/>
        <v>52.5</v>
      </c>
      <c r="O129" s="28">
        <f t="shared" si="49"/>
        <v>7.6115569749278314E-2</v>
      </c>
      <c r="P129" s="28">
        <f t="shared" si="46"/>
        <v>6.6982924863944179E-2</v>
      </c>
      <c r="Q129" s="28">
        <f t="shared" si="47"/>
        <v>2.2521444467196758</v>
      </c>
      <c r="R129" s="97">
        <f t="shared" si="50"/>
        <v>0.67341400239062932</v>
      </c>
      <c r="S129" s="115"/>
      <c r="T129" s="21"/>
    </row>
    <row r="130" spans="1:20" x14ac:dyDescent="0.25">
      <c r="A130" s="122"/>
      <c r="B130" s="118"/>
      <c r="C130" s="118"/>
      <c r="D130" s="118"/>
      <c r="E130" s="118"/>
      <c r="F130" s="118"/>
      <c r="G130" s="109"/>
      <c r="H130" s="109"/>
      <c r="I130" s="109"/>
      <c r="J130" s="109"/>
      <c r="K130" s="109"/>
      <c r="L130" s="17" t="s">
        <v>47</v>
      </c>
      <c r="M130" s="12">
        <v>16.5</v>
      </c>
      <c r="N130" s="20">
        <f t="shared" si="48"/>
        <v>67.5</v>
      </c>
      <c r="O130" s="28">
        <f t="shared" si="49"/>
        <v>3.4875180062053902E-2</v>
      </c>
      <c r="P130" s="28">
        <f t="shared" si="46"/>
        <v>2.6701009475250691E-2</v>
      </c>
      <c r="Q130" s="28">
        <f t="shared" si="47"/>
        <v>3.1370460373142088</v>
      </c>
      <c r="R130" s="97">
        <f t="shared" si="50"/>
        <v>0.301185477853259</v>
      </c>
      <c r="S130" s="115"/>
      <c r="T130" s="21"/>
    </row>
    <row r="131" spans="1:20" x14ac:dyDescent="0.25">
      <c r="A131" s="122"/>
      <c r="B131" s="118"/>
      <c r="C131" s="118"/>
      <c r="D131" s="118"/>
      <c r="E131" s="118"/>
      <c r="F131" s="118"/>
      <c r="G131" s="110"/>
      <c r="H131" s="110"/>
      <c r="I131" s="110"/>
      <c r="J131" s="110"/>
      <c r="K131" s="110"/>
      <c r="L131" s="17" t="s">
        <v>48</v>
      </c>
      <c r="M131" s="12">
        <v>17.5</v>
      </c>
      <c r="N131" s="20">
        <f t="shared" si="48"/>
        <v>82.5</v>
      </c>
      <c r="O131" s="29">
        <f>(PI()/24)*((COS(N131*PI()/180)-COS($C$120*PI()/180))/(SIN($C$120*PI()/180)-((PI()*$C$120/180)*COS($C$120*PI()/180))))</f>
        <v>-1.1122497732431142E-2</v>
      </c>
      <c r="P131" s="29">
        <f t="shared" si="46"/>
        <v>-7.096377373041131E-3</v>
      </c>
      <c r="Q131" s="43">
        <f t="shared" si="47"/>
        <v>-3.6172376702216034</v>
      </c>
      <c r="R131" s="66" t="s">
        <v>81</v>
      </c>
      <c r="S131" s="116"/>
      <c r="T131" s="21"/>
    </row>
    <row r="132" spans="1:20" x14ac:dyDescent="0.25">
      <c r="A132" s="122">
        <v>11</v>
      </c>
      <c r="B132" s="118" t="s">
        <v>65</v>
      </c>
      <c r="C132" s="118">
        <v>67.174154403625039</v>
      </c>
      <c r="D132" s="118">
        <f t="shared" ref="D132" si="51">0.409+0.5016*(SIN(RADIANS(C132-60)))</f>
        <v>0.47164266062896654</v>
      </c>
      <c r="E132" s="118">
        <f>0.6609-0.4767*(SIN(RADIANS(C132-60)))</f>
        <v>0.60136699297881113</v>
      </c>
      <c r="F132" s="118">
        <v>69</v>
      </c>
      <c r="G132" s="108">
        <v>0.41949484419406918</v>
      </c>
      <c r="H132" s="108">
        <v>11.242092877351924</v>
      </c>
      <c r="I132" s="108">
        <v>0.47700603965372224</v>
      </c>
      <c r="J132" s="108">
        <v>0.21</v>
      </c>
      <c r="K132" s="108">
        <v>-18.911954741226161</v>
      </c>
      <c r="L132" s="17" t="s">
        <v>37</v>
      </c>
      <c r="M132" s="12">
        <v>6.5</v>
      </c>
      <c r="N132" s="20">
        <f>15*(M132-12)</f>
        <v>-82.5</v>
      </c>
      <c r="O132" s="25">
        <f>(PI()/24)*((COS(N132*PI()/180)-COS($C$132*PI()/180))/(SIN($C$132*PI()/180)-((PI()*$C$132/180)*COS($C$132*PI()/180))))</f>
        <v>-7.2169995455325486E-2</v>
      </c>
      <c r="P132" s="39">
        <f t="shared" ref="P132:P143" si="52">($D$132+($E$132*COS(RADIANS(N132))))*O132</f>
        <v>-3.970337066969723E-2</v>
      </c>
      <c r="Q132" s="42">
        <f t="shared" ref="Q132:Q143" si="53">((COS((RADIANS($AI$4)-RADIANS($F$132)))*COS(RADIANS($K$132))*COS(RADIANS(N132)))+(SIN((RADIANS($AI$4)-RADIANS($F$132)))*SIN(RADIANS($K$132))))/((COS(RADIANS($AI$4))*COS(RADIANS($K$132))*COS(RADIANS(N132)))+(SIN(RADIANS($AI$4))*SIN(RADIANS($K$132))))</f>
        <v>-1.4202676146310533</v>
      </c>
      <c r="R132" s="64" t="s">
        <v>81</v>
      </c>
      <c r="S132" s="114">
        <v>8</v>
      </c>
      <c r="T132" s="21"/>
    </row>
    <row r="133" spans="1:20" x14ac:dyDescent="0.25">
      <c r="A133" s="122"/>
      <c r="B133" s="118"/>
      <c r="C133" s="118"/>
      <c r="D133" s="118"/>
      <c r="E133" s="118"/>
      <c r="F133" s="118"/>
      <c r="G133" s="109"/>
      <c r="H133" s="109"/>
      <c r="I133" s="109"/>
      <c r="J133" s="109"/>
      <c r="K133" s="109"/>
      <c r="L133" s="17" t="s">
        <v>38</v>
      </c>
      <c r="M133" s="12">
        <v>7.5</v>
      </c>
      <c r="N133" s="20">
        <f t="shared" ref="N133:N155" si="54">15*(M133-12)</f>
        <v>-67.5</v>
      </c>
      <c r="O133" s="28">
        <f t="shared" ref="O133:O143" si="55">(PI()/24)*((COS(N133*PI()/180)-COS($C$132*PI()/180))/(SIN($C$132*PI()/180)-((PI()*$C$132/180)*COS($C$132*PI()/180))))</f>
        <v>-1.4713966520102616E-3</v>
      </c>
      <c r="P133" s="54">
        <f t="shared" si="52"/>
        <v>-1.0325906296968898E-3</v>
      </c>
      <c r="Q133" s="43">
        <f t="shared" si="53"/>
        <v>-137.67243416793653</v>
      </c>
      <c r="R133" s="65" t="s">
        <v>81</v>
      </c>
      <c r="S133" s="115"/>
      <c r="T133" s="21"/>
    </row>
    <row r="134" spans="1:20" x14ac:dyDescent="0.25">
      <c r="A134" s="122"/>
      <c r="B134" s="118"/>
      <c r="C134" s="118"/>
      <c r="D134" s="118"/>
      <c r="E134" s="118"/>
      <c r="F134" s="118"/>
      <c r="G134" s="109"/>
      <c r="H134" s="109"/>
      <c r="I134" s="109"/>
      <c r="J134" s="109"/>
      <c r="K134" s="109"/>
      <c r="L134" s="17" t="s">
        <v>39</v>
      </c>
      <c r="M134" s="12">
        <v>8.5</v>
      </c>
      <c r="N134" s="20">
        <f t="shared" si="54"/>
        <v>-52.5</v>
      </c>
      <c r="O134" s="28">
        <f t="shared" si="55"/>
        <v>6.1915232951691872E-2</v>
      </c>
      <c r="P134" s="54">
        <f t="shared" si="52"/>
        <v>5.1868352776583172E-2</v>
      </c>
      <c r="Q134" s="43">
        <f t="shared" si="53"/>
        <v>4.720827143372377</v>
      </c>
      <c r="R134" s="97">
        <f t="shared" ref="R134:R141" si="56">($G$132*$H$132)*(((P134-($I$132*O134))*Q134)+($I$132*O134*((1+COS(RADIANS($F$132)))/2))+($J$132*P134*((1-COS(RADIANS($F$132)))/2)))</f>
        <v>0.60831836000638284</v>
      </c>
      <c r="S134" s="115"/>
      <c r="T134" s="21"/>
    </row>
    <row r="135" spans="1:20" x14ac:dyDescent="0.25">
      <c r="A135" s="122"/>
      <c r="B135" s="118"/>
      <c r="C135" s="118"/>
      <c r="D135" s="118"/>
      <c r="E135" s="118"/>
      <c r="F135" s="118"/>
      <c r="G135" s="109"/>
      <c r="H135" s="109"/>
      <c r="I135" s="109"/>
      <c r="J135" s="109"/>
      <c r="K135" s="109"/>
      <c r="L135" s="17" t="s">
        <v>40</v>
      </c>
      <c r="M135" s="12">
        <v>9.5</v>
      </c>
      <c r="N135" s="20">
        <f t="shared" si="54"/>
        <v>-37.5</v>
      </c>
      <c r="O135" s="28">
        <f t="shared" si="55"/>
        <v>0.11367019929964686</v>
      </c>
      <c r="P135" s="54">
        <f t="shared" si="52"/>
        <v>0.10784337090666446</v>
      </c>
      <c r="Q135" s="43">
        <f t="shared" si="53"/>
        <v>3.2158602387522044</v>
      </c>
      <c r="R135" s="97">
        <f t="shared" si="56"/>
        <v>1.0211682005784308</v>
      </c>
      <c r="S135" s="115"/>
      <c r="T135" s="21"/>
    </row>
    <row r="136" spans="1:20" x14ac:dyDescent="0.25">
      <c r="A136" s="122"/>
      <c r="B136" s="118"/>
      <c r="C136" s="118"/>
      <c r="D136" s="118"/>
      <c r="E136" s="118"/>
      <c r="F136" s="118"/>
      <c r="G136" s="109"/>
      <c r="H136" s="109"/>
      <c r="I136" s="109"/>
      <c r="J136" s="109"/>
      <c r="K136" s="109"/>
      <c r="L136" s="17" t="s">
        <v>41</v>
      </c>
      <c r="M136" s="12">
        <v>10.5</v>
      </c>
      <c r="N136" s="20">
        <f t="shared" si="54"/>
        <v>-22.5</v>
      </c>
      <c r="O136" s="28">
        <f t="shared" si="55"/>
        <v>0.1502664869643674</v>
      </c>
      <c r="P136" s="54">
        <f t="shared" si="52"/>
        <v>0.15435874183382869</v>
      </c>
      <c r="Q136" s="43">
        <f t="shared" si="53"/>
        <v>2.7773827217987526</v>
      </c>
      <c r="R136" s="97">
        <f t="shared" si="56"/>
        <v>1.3615937394772364</v>
      </c>
      <c r="S136" s="115"/>
      <c r="T136" s="21"/>
    </row>
    <row r="137" spans="1:20" x14ac:dyDescent="0.25">
      <c r="A137" s="122"/>
      <c r="B137" s="118"/>
      <c r="C137" s="118"/>
      <c r="D137" s="118"/>
      <c r="E137" s="118"/>
      <c r="F137" s="118"/>
      <c r="G137" s="109"/>
      <c r="H137" s="109"/>
      <c r="I137" s="109"/>
      <c r="J137" s="109"/>
      <c r="K137" s="109"/>
      <c r="L137" s="17" t="s">
        <v>42</v>
      </c>
      <c r="M137" s="12">
        <v>11.5</v>
      </c>
      <c r="N137" s="20">
        <f t="shared" si="54"/>
        <v>-7.5</v>
      </c>
      <c r="O137" s="28">
        <f t="shared" si="55"/>
        <v>0.16921011941972761</v>
      </c>
      <c r="P137" s="54">
        <f t="shared" si="52"/>
        <v>0.18069354312739161</v>
      </c>
      <c r="Q137" s="43">
        <f t="shared" si="53"/>
        <v>2.6249094058128892</v>
      </c>
      <c r="R137" s="97">
        <f t="shared" si="56"/>
        <v>1.5535918084490388</v>
      </c>
      <c r="S137" s="115"/>
      <c r="T137" s="21"/>
    </row>
    <row r="138" spans="1:20" x14ac:dyDescent="0.25">
      <c r="A138" s="122"/>
      <c r="B138" s="118"/>
      <c r="C138" s="118"/>
      <c r="D138" s="118"/>
      <c r="E138" s="118"/>
      <c r="F138" s="118"/>
      <c r="G138" s="109"/>
      <c r="H138" s="109"/>
      <c r="I138" s="109"/>
      <c r="J138" s="109"/>
      <c r="K138" s="109"/>
      <c r="L138" s="17" t="s">
        <v>43</v>
      </c>
      <c r="M138" s="12">
        <v>12.5</v>
      </c>
      <c r="N138" s="20">
        <f t="shared" si="54"/>
        <v>7.5</v>
      </c>
      <c r="O138" s="28">
        <f t="shared" si="55"/>
        <v>0.16921011941972761</v>
      </c>
      <c r="P138" s="54">
        <f t="shared" si="52"/>
        <v>0.18069354312739161</v>
      </c>
      <c r="Q138" s="43">
        <f t="shared" si="53"/>
        <v>2.6249094058128892</v>
      </c>
      <c r="R138" s="97">
        <f t="shared" si="56"/>
        <v>1.5535918084490388</v>
      </c>
      <c r="S138" s="115"/>
      <c r="T138" s="21"/>
    </row>
    <row r="139" spans="1:20" x14ac:dyDescent="0.25">
      <c r="A139" s="122"/>
      <c r="B139" s="118"/>
      <c r="C139" s="118"/>
      <c r="D139" s="118"/>
      <c r="E139" s="118"/>
      <c r="F139" s="118"/>
      <c r="G139" s="109"/>
      <c r="H139" s="109"/>
      <c r="I139" s="109"/>
      <c r="J139" s="109"/>
      <c r="K139" s="109"/>
      <c r="L139" s="17" t="s">
        <v>44</v>
      </c>
      <c r="M139" s="12">
        <v>13.5</v>
      </c>
      <c r="N139" s="20">
        <f t="shared" si="54"/>
        <v>22.5</v>
      </c>
      <c r="O139" s="28">
        <f t="shared" si="55"/>
        <v>0.1502664869643674</v>
      </c>
      <c r="P139" s="54">
        <f t="shared" si="52"/>
        <v>0.15435874183382869</v>
      </c>
      <c r="Q139" s="43">
        <f t="shared" si="53"/>
        <v>2.7773827217987526</v>
      </c>
      <c r="R139" s="97">
        <f t="shared" si="56"/>
        <v>1.3615937394772364</v>
      </c>
      <c r="S139" s="115"/>
      <c r="T139" s="21"/>
    </row>
    <row r="140" spans="1:20" x14ac:dyDescent="0.25">
      <c r="A140" s="122"/>
      <c r="B140" s="118"/>
      <c r="C140" s="118"/>
      <c r="D140" s="118"/>
      <c r="E140" s="118"/>
      <c r="F140" s="118"/>
      <c r="G140" s="109"/>
      <c r="H140" s="109"/>
      <c r="I140" s="109"/>
      <c r="J140" s="109"/>
      <c r="K140" s="109"/>
      <c r="L140" s="17" t="s">
        <v>45</v>
      </c>
      <c r="M140" s="12">
        <v>14.5</v>
      </c>
      <c r="N140" s="20">
        <f t="shared" si="54"/>
        <v>37.5</v>
      </c>
      <c r="O140" s="28">
        <f t="shared" si="55"/>
        <v>0.11367019929964686</v>
      </c>
      <c r="P140" s="54">
        <f t="shared" si="52"/>
        <v>0.10784337090666446</v>
      </c>
      <c r="Q140" s="43">
        <f t="shared" si="53"/>
        <v>3.2158602387522044</v>
      </c>
      <c r="R140" s="97">
        <f t="shared" si="56"/>
        <v>1.0211682005784308</v>
      </c>
      <c r="S140" s="115"/>
      <c r="T140" s="21"/>
    </row>
    <row r="141" spans="1:20" x14ac:dyDescent="0.25">
      <c r="A141" s="122"/>
      <c r="B141" s="118"/>
      <c r="C141" s="118"/>
      <c r="D141" s="118"/>
      <c r="E141" s="118"/>
      <c r="F141" s="118"/>
      <c r="G141" s="109"/>
      <c r="H141" s="109"/>
      <c r="I141" s="109"/>
      <c r="J141" s="109"/>
      <c r="K141" s="109"/>
      <c r="L141" s="17" t="s">
        <v>46</v>
      </c>
      <c r="M141" s="12">
        <v>15.5</v>
      </c>
      <c r="N141" s="20">
        <f t="shared" si="54"/>
        <v>52.5</v>
      </c>
      <c r="O141" s="28">
        <f t="shared" si="55"/>
        <v>6.1915232951691872E-2</v>
      </c>
      <c r="P141" s="54">
        <f t="shared" si="52"/>
        <v>5.1868352776583172E-2</v>
      </c>
      <c r="Q141" s="43">
        <f t="shared" si="53"/>
        <v>4.720827143372377</v>
      </c>
      <c r="R141" s="97">
        <f t="shared" si="56"/>
        <v>0.60831836000638284</v>
      </c>
      <c r="S141" s="115"/>
      <c r="T141" s="21"/>
    </row>
    <row r="142" spans="1:20" x14ac:dyDescent="0.25">
      <c r="A142" s="122"/>
      <c r="B142" s="118"/>
      <c r="C142" s="118"/>
      <c r="D142" s="118"/>
      <c r="E142" s="118"/>
      <c r="F142" s="118"/>
      <c r="G142" s="109"/>
      <c r="H142" s="109"/>
      <c r="I142" s="109"/>
      <c r="J142" s="109"/>
      <c r="K142" s="109"/>
      <c r="L142" s="17" t="s">
        <v>47</v>
      </c>
      <c r="M142" s="12">
        <v>16.5</v>
      </c>
      <c r="N142" s="20">
        <f t="shared" si="54"/>
        <v>67.5</v>
      </c>
      <c r="O142" s="28">
        <f t="shared" si="55"/>
        <v>-1.4713966520102616E-3</v>
      </c>
      <c r="P142" s="54">
        <f t="shared" si="52"/>
        <v>-1.0325906296968898E-3</v>
      </c>
      <c r="Q142" s="43">
        <f t="shared" si="53"/>
        <v>-137.67243416793653</v>
      </c>
      <c r="R142" s="65" t="s">
        <v>81</v>
      </c>
      <c r="S142" s="115"/>
      <c r="T142" s="21"/>
    </row>
    <row r="143" spans="1:20" x14ac:dyDescent="0.25">
      <c r="A143" s="122"/>
      <c r="B143" s="118"/>
      <c r="C143" s="118"/>
      <c r="D143" s="118"/>
      <c r="E143" s="118"/>
      <c r="F143" s="118"/>
      <c r="G143" s="110"/>
      <c r="H143" s="110"/>
      <c r="I143" s="110"/>
      <c r="J143" s="110"/>
      <c r="K143" s="110"/>
      <c r="L143" s="17" t="s">
        <v>48</v>
      </c>
      <c r="M143" s="12">
        <v>17.5</v>
      </c>
      <c r="N143" s="20">
        <f t="shared" si="54"/>
        <v>82.5</v>
      </c>
      <c r="O143" s="29">
        <f t="shared" si="55"/>
        <v>-7.2169995455325486E-2</v>
      </c>
      <c r="P143" s="47">
        <f t="shared" si="52"/>
        <v>-3.970337066969723E-2</v>
      </c>
      <c r="Q143" s="29">
        <f t="shared" si="53"/>
        <v>-1.4202676146310533</v>
      </c>
      <c r="R143" s="66" t="s">
        <v>81</v>
      </c>
      <c r="S143" s="116"/>
      <c r="T143" s="21"/>
    </row>
    <row r="144" spans="1:20" x14ac:dyDescent="0.25">
      <c r="A144" s="122">
        <v>12</v>
      </c>
      <c r="B144" s="118" t="s">
        <v>66</v>
      </c>
      <c r="C144" s="118">
        <v>61.198024919238009</v>
      </c>
      <c r="D144" s="118">
        <f t="shared" ref="D144" si="57">0.409+0.5016*(SIN(RADIANS(C144-60)))</f>
        <v>0.4194874306136484</v>
      </c>
      <c r="E144" s="118">
        <f>0.6609-0.4767*(SIN(RADIANS(C144-60)))</f>
        <v>0.65093317748499568</v>
      </c>
      <c r="F144" s="118">
        <v>75</v>
      </c>
      <c r="G144" s="108">
        <v>0.468002175756975</v>
      </c>
      <c r="H144" s="108">
        <v>8.5384218428827356</v>
      </c>
      <c r="I144" s="108">
        <v>0.42335985934387688</v>
      </c>
      <c r="J144" s="108">
        <v>0.28000000000000003</v>
      </c>
      <c r="K144" s="108">
        <v>-23.049627643930577</v>
      </c>
      <c r="L144" s="17" t="s">
        <v>37</v>
      </c>
      <c r="M144" s="12">
        <v>6.5</v>
      </c>
      <c r="N144" s="20">
        <f>15*(M144-12)</f>
        <v>-82.5</v>
      </c>
      <c r="O144" s="25">
        <f>(PI()/24)*((COS(N144*PI()/180)-COS($C$144*PI()/180))/(SIN($C$144*PI()/180)-((PI()*$C$144/180)*COS($C$144*PI()/180))))</f>
        <v>-0.12712295548028801</v>
      </c>
      <c r="P144" s="25">
        <f t="shared" ref="P144:P155" si="58">($D$144+($E$144*COS(RADIANS(N144))))*O144</f>
        <v>-6.4127335023792378E-2</v>
      </c>
      <c r="Q144" s="25">
        <f t="shared" ref="Q144:Q155" si="59">((COS((RADIANS($AI$4)-RADIANS($F$144)))*COS(RADIANS($K$144))*COS(RADIANS(N144)))+(SIN((RADIANS($AI$4)-RADIANS($F$144)))*SIN(RADIANS($K$144))))/((COS(RADIANS($AI$4))*COS(RADIANS($K$144))*COS(RADIANS(N144)))+(SIN(RADIANS($AI$4))*SIN(RADIANS($K$144))))</f>
        <v>-1.3176752448198203</v>
      </c>
      <c r="R144" s="64" t="s">
        <v>81</v>
      </c>
      <c r="S144" s="114">
        <v>8</v>
      </c>
      <c r="T144" s="21"/>
    </row>
    <row r="145" spans="1:20" x14ac:dyDescent="0.25">
      <c r="A145" s="122"/>
      <c r="B145" s="118"/>
      <c r="C145" s="118"/>
      <c r="D145" s="118"/>
      <c r="E145" s="118"/>
      <c r="F145" s="118"/>
      <c r="G145" s="109"/>
      <c r="H145" s="109"/>
      <c r="I145" s="109"/>
      <c r="J145" s="109"/>
      <c r="K145" s="109"/>
      <c r="L145" s="17" t="s">
        <v>38</v>
      </c>
      <c r="M145" s="12">
        <v>7.5</v>
      </c>
      <c r="N145" s="20">
        <f t="shared" si="54"/>
        <v>-67.5</v>
      </c>
      <c r="O145" s="28">
        <f t="shared" ref="O145:O155" si="60">(PI()/24)*((COS(N145*PI()/180)-COS($C$144*PI()/180))/(SIN($C$144*PI()/180)-((PI()*$C$144/180)*COS($C$144*PI()/180))))</f>
        <v>-3.5865241882862386E-2</v>
      </c>
      <c r="P145" s="28">
        <f t="shared" si="58"/>
        <v>-2.397909807148349E-2</v>
      </c>
      <c r="Q145" s="28">
        <f t="shared" si="59"/>
        <v>-8.1118865582209256</v>
      </c>
      <c r="R145" s="68" t="s">
        <v>81</v>
      </c>
      <c r="S145" s="115"/>
      <c r="T145" s="21"/>
    </row>
    <row r="146" spans="1:20" x14ac:dyDescent="0.25">
      <c r="A146" s="122"/>
      <c r="B146" s="118"/>
      <c r="C146" s="118"/>
      <c r="D146" s="118"/>
      <c r="E146" s="118"/>
      <c r="F146" s="118"/>
      <c r="G146" s="109"/>
      <c r="H146" s="109"/>
      <c r="I146" s="109"/>
      <c r="J146" s="109"/>
      <c r="K146" s="109"/>
      <c r="L146" s="17" t="s">
        <v>39</v>
      </c>
      <c r="M146" s="12">
        <v>8.5</v>
      </c>
      <c r="N146" s="20">
        <f t="shared" si="54"/>
        <v>-52.5</v>
      </c>
      <c r="O146" s="28">
        <f t="shared" si="60"/>
        <v>4.5954185774726507E-2</v>
      </c>
      <c r="P146" s="28">
        <f t="shared" si="58"/>
        <v>3.7487147354202201E-2</v>
      </c>
      <c r="Q146" s="28">
        <f t="shared" si="59"/>
        <v>8.7390797157053317</v>
      </c>
      <c r="R146" s="101">
        <f t="shared" ref="R146:R153" si="61">($G$144*$H$144)*(((P146-($I$144*O146))*Q146)+($I$144*O146*((1+COS(RADIANS($F$144)))/2))+($J$144*P146*((1-COS(RADIANS($F$144)))/2)))</f>
        <v>0.69417762148770767</v>
      </c>
      <c r="S146" s="115"/>
      <c r="T146" s="21"/>
    </row>
    <row r="147" spans="1:20" x14ac:dyDescent="0.25">
      <c r="A147" s="122"/>
      <c r="B147" s="118"/>
      <c r="C147" s="118"/>
      <c r="D147" s="118"/>
      <c r="E147" s="118"/>
      <c r="F147" s="118"/>
      <c r="G147" s="109"/>
      <c r="H147" s="109"/>
      <c r="I147" s="109"/>
      <c r="J147" s="109"/>
      <c r="K147" s="109"/>
      <c r="L147" s="17" t="s">
        <v>40</v>
      </c>
      <c r="M147" s="12">
        <v>9.5</v>
      </c>
      <c r="N147" s="20">
        <f t="shared" si="54"/>
        <v>-37.5</v>
      </c>
      <c r="O147" s="28">
        <f t="shared" si="60"/>
        <v>0.11275946871061127</v>
      </c>
      <c r="P147" s="28">
        <f t="shared" si="58"/>
        <v>0.10553242584078752</v>
      </c>
      <c r="Q147" s="28">
        <f t="shared" si="59"/>
        <v>4.3628518913757217</v>
      </c>
      <c r="R147" s="101">
        <f t="shared" si="61"/>
        <v>1.17141342775825</v>
      </c>
      <c r="S147" s="115"/>
      <c r="T147" s="21"/>
    </row>
    <row r="148" spans="1:20" x14ac:dyDescent="0.25">
      <c r="A148" s="122"/>
      <c r="B148" s="118"/>
      <c r="C148" s="118"/>
      <c r="D148" s="118"/>
      <c r="E148" s="118"/>
      <c r="F148" s="118"/>
      <c r="G148" s="109"/>
      <c r="H148" s="109"/>
      <c r="I148" s="109"/>
      <c r="J148" s="109"/>
      <c r="K148" s="109"/>
      <c r="L148" s="17" t="s">
        <v>41</v>
      </c>
      <c r="M148" s="12">
        <v>10.5</v>
      </c>
      <c r="N148" s="20">
        <f t="shared" si="54"/>
        <v>-22.5</v>
      </c>
      <c r="O148" s="28">
        <f t="shared" si="60"/>
        <v>0.15999793729366132</v>
      </c>
      <c r="P148" s="28">
        <f t="shared" si="58"/>
        <v>0.16333729749429135</v>
      </c>
      <c r="Q148" s="28">
        <f t="shared" si="59"/>
        <v>3.4740691411199269</v>
      </c>
      <c r="R148" s="101">
        <f t="shared" si="61"/>
        <v>1.5652569633506905</v>
      </c>
      <c r="S148" s="115"/>
      <c r="T148" s="21"/>
    </row>
    <row r="149" spans="1:20" x14ac:dyDescent="0.25">
      <c r="A149" s="122"/>
      <c r="B149" s="118"/>
      <c r="C149" s="118"/>
      <c r="D149" s="118"/>
      <c r="E149" s="118"/>
      <c r="F149" s="118"/>
      <c r="G149" s="109"/>
      <c r="H149" s="109"/>
      <c r="I149" s="109"/>
      <c r="J149" s="109"/>
      <c r="K149" s="109"/>
      <c r="L149" s="17" t="s">
        <v>42</v>
      </c>
      <c r="M149" s="12">
        <v>11.5</v>
      </c>
      <c r="N149" s="20">
        <f t="shared" si="54"/>
        <v>-7.5</v>
      </c>
      <c r="O149" s="28">
        <f t="shared" si="60"/>
        <v>0.18445036795520217</v>
      </c>
      <c r="P149" s="28">
        <f t="shared" si="58"/>
        <v>0.19641230347410443</v>
      </c>
      <c r="Q149" s="28">
        <f t="shared" si="59"/>
        <v>3.1928173231460395</v>
      </c>
      <c r="R149" s="101">
        <f t="shared" si="61"/>
        <v>1.7874737145805573</v>
      </c>
      <c r="S149" s="115"/>
      <c r="T149" s="21"/>
    </row>
    <row r="150" spans="1:20" x14ac:dyDescent="0.25">
      <c r="A150" s="122"/>
      <c r="B150" s="118"/>
      <c r="C150" s="118"/>
      <c r="D150" s="118"/>
      <c r="E150" s="118"/>
      <c r="F150" s="118"/>
      <c r="G150" s="109"/>
      <c r="H150" s="109"/>
      <c r="I150" s="109"/>
      <c r="J150" s="109"/>
      <c r="K150" s="109"/>
      <c r="L150" s="17" t="s">
        <v>43</v>
      </c>
      <c r="M150" s="12">
        <v>12.5</v>
      </c>
      <c r="N150" s="20">
        <f t="shared" si="54"/>
        <v>7.5</v>
      </c>
      <c r="O150" s="28">
        <f t="shared" si="60"/>
        <v>0.18445036795520217</v>
      </c>
      <c r="P150" s="28">
        <f t="shared" si="58"/>
        <v>0.19641230347410443</v>
      </c>
      <c r="Q150" s="28">
        <f t="shared" si="59"/>
        <v>3.1928173231460395</v>
      </c>
      <c r="R150" s="101">
        <f t="shared" si="61"/>
        <v>1.7874737145805573</v>
      </c>
      <c r="S150" s="115"/>
      <c r="T150" s="21"/>
    </row>
    <row r="151" spans="1:20" x14ac:dyDescent="0.25">
      <c r="A151" s="122"/>
      <c r="B151" s="118"/>
      <c r="C151" s="118"/>
      <c r="D151" s="118"/>
      <c r="E151" s="118"/>
      <c r="F151" s="118"/>
      <c r="G151" s="109"/>
      <c r="H151" s="109"/>
      <c r="I151" s="109"/>
      <c r="J151" s="109"/>
      <c r="K151" s="109"/>
      <c r="L151" s="17" t="s">
        <v>44</v>
      </c>
      <c r="M151" s="12">
        <v>13.5</v>
      </c>
      <c r="N151" s="20">
        <f t="shared" si="54"/>
        <v>22.5</v>
      </c>
      <c r="O151" s="28">
        <f t="shared" si="60"/>
        <v>0.15999793729366132</v>
      </c>
      <c r="P151" s="28">
        <f t="shared" si="58"/>
        <v>0.16333729749429135</v>
      </c>
      <c r="Q151" s="28">
        <f t="shared" si="59"/>
        <v>3.4740691411199269</v>
      </c>
      <c r="R151" s="101">
        <f t="shared" si="61"/>
        <v>1.5652569633506905</v>
      </c>
      <c r="S151" s="115"/>
      <c r="T151" s="21"/>
    </row>
    <row r="152" spans="1:20" x14ac:dyDescent="0.25">
      <c r="A152" s="122"/>
      <c r="B152" s="118"/>
      <c r="C152" s="118"/>
      <c r="D152" s="118"/>
      <c r="E152" s="118"/>
      <c r="F152" s="118"/>
      <c r="G152" s="109"/>
      <c r="H152" s="109"/>
      <c r="I152" s="109"/>
      <c r="J152" s="109"/>
      <c r="K152" s="109"/>
      <c r="L152" s="17" t="s">
        <v>45</v>
      </c>
      <c r="M152" s="12">
        <v>14.5</v>
      </c>
      <c r="N152" s="20">
        <f t="shared" si="54"/>
        <v>37.5</v>
      </c>
      <c r="O152" s="28">
        <f t="shared" si="60"/>
        <v>0.11275946871061127</v>
      </c>
      <c r="P152" s="28">
        <f t="shared" si="58"/>
        <v>0.10553242584078752</v>
      </c>
      <c r="Q152" s="28">
        <f t="shared" si="59"/>
        <v>4.3628518913757217</v>
      </c>
      <c r="R152" s="101">
        <f t="shared" si="61"/>
        <v>1.17141342775825</v>
      </c>
      <c r="S152" s="115"/>
      <c r="T152" s="21"/>
    </row>
    <row r="153" spans="1:20" x14ac:dyDescent="0.25">
      <c r="A153" s="122"/>
      <c r="B153" s="118"/>
      <c r="C153" s="118"/>
      <c r="D153" s="118"/>
      <c r="E153" s="118"/>
      <c r="F153" s="118"/>
      <c r="G153" s="109"/>
      <c r="H153" s="109"/>
      <c r="I153" s="109"/>
      <c r="J153" s="109"/>
      <c r="K153" s="109"/>
      <c r="L153" s="17" t="s">
        <v>46</v>
      </c>
      <c r="M153" s="12">
        <v>15.5</v>
      </c>
      <c r="N153" s="20">
        <f t="shared" si="54"/>
        <v>52.5</v>
      </c>
      <c r="O153" s="28">
        <f t="shared" si="60"/>
        <v>4.5954185774726507E-2</v>
      </c>
      <c r="P153" s="28">
        <f t="shared" si="58"/>
        <v>3.7487147354202201E-2</v>
      </c>
      <c r="Q153" s="28">
        <f t="shared" si="59"/>
        <v>8.7390797157053317</v>
      </c>
      <c r="R153" s="101">
        <f t="shared" si="61"/>
        <v>0.69417762148770767</v>
      </c>
      <c r="S153" s="115"/>
      <c r="T153" s="21"/>
    </row>
    <row r="154" spans="1:20" x14ac:dyDescent="0.25">
      <c r="A154" s="122"/>
      <c r="B154" s="118"/>
      <c r="C154" s="118"/>
      <c r="D154" s="118"/>
      <c r="E154" s="118"/>
      <c r="F154" s="118"/>
      <c r="G154" s="109"/>
      <c r="H154" s="109"/>
      <c r="I154" s="109"/>
      <c r="J154" s="109"/>
      <c r="K154" s="109"/>
      <c r="L154" s="17" t="s">
        <v>47</v>
      </c>
      <c r="M154" s="12">
        <v>16.5</v>
      </c>
      <c r="N154" s="20">
        <f t="shared" si="54"/>
        <v>67.5</v>
      </c>
      <c r="O154" s="28">
        <f t="shared" si="60"/>
        <v>-3.5865241882862386E-2</v>
      </c>
      <c r="P154" s="28">
        <f t="shared" si="58"/>
        <v>-2.397909807148349E-2</v>
      </c>
      <c r="Q154" s="28">
        <f t="shared" si="59"/>
        <v>-8.1118865582209256</v>
      </c>
      <c r="R154" s="65" t="s">
        <v>81</v>
      </c>
      <c r="S154" s="115"/>
      <c r="T154" s="21"/>
    </row>
    <row r="155" spans="1:20" x14ac:dyDescent="0.25">
      <c r="A155" s="122"/>
      <c r="B155" s="118"/>
      <c r="C155" s="118"/>
      <c r="D155" s="118"/>
      <c r="E155" s="118"/>
      <c r="F155" s="118"/>
      <c r="G155" s="110"/>
      <c r="H155" s="110"/>
      <c r="I155" s="110"/>
      <c r="J155" s="110"/>
      <c r="K155" s="110"/>
      <c r="L155" s="17" t="s">
        <v>48</v>
      </c>
      <c r="M155" s="12">
        <v>17.5</v>
      </c>
      <c r="N155" s="20">
        <f t="shared" si="54"/>
        <v>82.5</v>
      </c>
      <c r="O155" s="29">
        <f t="shared" si="60"/>
        <v>-0.12712295548028801</v>
      </c>
      <c r="P155" s="29">
        <f t="shared" si="58"/>
        <v>-6.4127335023792378E-2</v>
      </c>
      <c r="Q155" s="29">
        <f t="shared" si="59"/>
        <v>-1.3176752448198203</v>
      </c>
      <c r="R155" s="66" t="s">
        <v>81</v>
      </c>
      <c r="S155" s="116"/>
      <c r="T155" s="21"/>
    </row>
    <row r="156" spans="1:20" x14ac:dyDescent="0.25"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O156" s="14"/>
      <c r="P156" s="14"/>
      <c r="Q156" s="14"/>
      <c r="R156" s="69"/>
      <c r="S156" s="14"/>
    </row>
    <row r="158" spans="1:20" x14ac:dyDescent="0.25">
      <c r="A158" s="72" t="s">
        <v>36</v>
      </c>
      <c r="B158" s="70" t="s">
        <v>82</v>
      </c>
      <c r="C158" s="70" t="s">
        <v>83</v>
      </c>
      <c r="D158" s="70" t="s">
        <v>37</v>
      </c>
      <c r="E158" s="70" t="s">
        <v>38</v>
      </c>
      <c r="F158" s="70" t="s">
        <v>39</v>
      </c>
      <c r="G158" s="70" t="s">
        <v>84</v>
      </c>
      <c r="H158" s="70" t="s">
        <v>41</v>
      </c>
      <c r="I158" s="70" t="s">
        <v>42</v>
      </c>
      <c r="J158" s="70" t="s">
        <v>43</v>
      </c>
      <c r="K158" s="70" t="s">
        <v>44</v>
      </c>
      <c r="L158" s="70" t="s">
        <v>45</v>
      </c>
      <c r="M158" s="70" t="s">
        <v>46</v>
      </c>
      <c r="N158" s="70" t="s">
        <v>47</v>
      </c>
      <c r="O158" s="70" t="s">
        <v>48</v>
      </c>
      <c r="P158" s="70" t="s">
        <v>85</v>
      </c>
      <c r="Q158" s="70" t="s">
        <v>86</v>
      </c>
    </row>
    <row r="159" spans="1:20" x14ac:dyDescent="0.25">
      <c r="A159" s="73" t="s">
        <v>87</v>
      </c>
      <c r="B159" s="105">
        <f>AVERAGE(R64)</f>
        <v>8.3932709141909354E-2</v>
      </c>
      <c r="C159" s="106">
        <f>AVERAGE(R65,R80,R94)</f>
        <v>0.24838912595505425</v>
      </c>
      <c r="D159" s="106">
        <f>AVERAGE(R66,R81,R95,R108)</f>
        <v>0.48835062225191045</v>
      </c>
      <c r="E159" s="106">
        <f>AVERAGE(R15,R27,R39,R52,R67,R82,R96,R109,R121)</f>
        <v>0.76112539005050728</v>
      </c>
      <c r="F159" s="106">
        <f>AVERAGE(R4,R16,R28,R40,R53,R68,R83,R97,R110,R122,R134,R146)</f>
        <v>1.0954793647051762</v>
      </c>
      <c r="G159" s="106">
        <f>AVERAGE(R5,R17,R29,R41,R54,R69,R84,R98,R111,R123,R135,R147)</f>
        <v>1.5401561639459402</v>
      </c>
      <c r="H159" s="106">
        <f>AVERAGE(R6,R18,R30,R42,R55,R70,R85,R99,R112,R124,R136,R148)</f>
        <v>1.8934817051806039</v>
      </c>
      <c r="I159" s="106">
        <f>AVERAGE(R7,R19,R31,R43,R56,R71,R86,R100,R113,R125,R137,R149)</f>
        <v>2.0890318128039271</v>
      </c>
      <c r="J159" s="106">
        <f>AVERAGE(R8,R20,R32,R44,R57,R72,R87,R101,R114,R126,R138,R150)</f>
        <v>2.0890318128039271</v>
      </c>
      <c r="K159" s="106">
        <f>AVERAGE(R9,R21,R33,R45,R58,R73,R88,R102,R115,R127,R139,R151)</f>
        <v>1.8934817051806039</v>
      </c>
      <c r="L159" s="106">
        <f>AVERAGE(R10,R22,R34,R46,R59,R74,R89,R103,R116,R128,R140,R152)</f>
        <v>1.5401561639459402</v>
      </c>
      <c r="M159" s="106">
        <f>AVERAGE(R11,R23,R35,R47,R60,R75,R90,R104,R117,R129,R141,R153)</f>
        <v>1.0954793647051762</v>
      </c>
      <c r="N159" s="106">
        <f>AVERAGE(R24,R36,R48,R61,R76,R91,R105,R118,R130)</f>
        <v>0.76112539005050728</v>
      </c>
      <c r="O159" s="106">
        <f>AVERAGE(R37,R49,R62,R77,R92,R106,R119)</f>
        <v>0.44061495854435961</v>
      </c>
      <c r="P159" s="106">
        <f>AVERAGE(R63,R78,R93,R107)</f>
        <v>0.2437765263274515</v>
      </c>
      <c r="Q159" s="106">
        <f>AVERAGE(R79)</f>
        <v>8.3932709141909354E-2</v>
      </c>
    </row>
    <row r="160" spans="1:20" x14ac:dyDescent="0.25">
      <c r="B160" s="71"/>
      <c r="N160" s="11" t="s">
        <v>104</v>
      </c>
    </row>
    <row r="161" spans="2:2" x14ac:dyDescent="0.25">
      <c r="B161" s="71"/>
    </row>
    <row r="162" spans="2:2" x14ac:dyDescent="0.25">
      <c r="B162" s="71"/>
    </row>
    <row r="163" spans="2:2" x14ac:dyDescent="0.25">
      <c r="B163" s="71"/>
    </row>
    <row r="164" spans="2:2" x14ac:dyDescent="0.25">
      <c r="B164" s="71"/>
    </row>
    <row r="165" spans="2:2" x14ac:dyDescent="0.25">
      <c r="B165" s="71"/>
    </row>
    <row r="166" spans="2:2" x14ac:dyDescent="0.25">
      <c r="B166" s="71"/>
    </row>
    <row r="167" spans="2:2" x14ac:dyDescent="0.25">
      <c r="B167" s="71"/>
    </row>
    <row r="168" spans="2:2" x14ac:dyDescent="0.25">
      <c r="B168" s="71"/>
    </row>
    <row r="169" spans="2:2" x14ac:dyDescent="0.25">
      <c r="B169" s="71"/>
    </row>
    <row r="170" spans="2:2" x14ac:dyDescent="0.25">
      <c r="B170" s="71"/>
    </row>
    <row r="171" spans="2:2" x14ac:dyDescent="0.25">
      <c r="B171" s="71"/>
    </row>
    <row r="172" spans="2:2" x14ac:dyDescent="0.25">
      <c r="B172" s="71"/>
    </row>
    <row r="173" spans="2:2" x14ac:dyDescent="0.25">
      <c r="B173" s="71"/>
    </row>
    <row r="174" spans="2:2" x14ac:dyDescent="0.25">
      <c r="B174" s="71"/>
    </row>
  </sheetData>
  <mergeCells count="144">
    <mergeCell ref="S2:S13"/>
    <mergeCell ref="S14:S25"/>
    <mergeCell ref="S26:S37"/>
    <mergeCell ref="S38:S49"/>
    <mergeCell ref="S81:S92"/>
    <mergeCell ref="S108:S119"/>
    <mergeCell ref="S120:S131"/>
    <mergeCell ref="S132:S143"/>
    <mergeCell ref="S144:S155"/>
    <mergeCell ref="S94:S107"/>
    <mergeCell ref="I144:I155"/>
    <mergeCell ref="H108:H119"/>
    <mergeCell ref="H120:H131"/>
    <mergeCell ref="H132:H143"/>
    <mergeCell ref="H2:H13"/>
    <mergeCell ref="H14:H25"/>
    <mergeCell ref="H26:H37"/>
    <mergeCell ref="H38:H49"/>
    <mergeCell ref="J132:J143"/>
    <mergeCell ref="J144:J155"/>
    <mergeCell ref="J108:J119"/>
    <mergeCell ref="J120:J131"/>
    <mergeCell ref="J2:J13"/>
    <mergeCell ref="J14:J25"/>
    <mergeCell ref="J26:J37"/>
    <mergeCell ref="J38:J49"/>
    <mergeCell ref="G2:G13"/>
    <mergeCell ref="G14:G25"/>
    <mergeCell ref="G26:G37"/>
    <mergeCell ref="G38:G49"/>
    <mergeCell ref="K144:K155"/>
    <mergeCell ref="K132:K143"/>
    <mergeCell ref="K120:K131"/>
    <mergeCell ref="K108:K119"/>
    <mergeCell ref="G108:G119"/>
    <mergeCell ref="G120:G131"/>
    <mergeCell ref="G132:G143"/>
    <mergeCell ref="G144:G155"/>
    <mergeCell ref="K2:K13"/>
    <mergeCell ref="K14:K25"/>
    <mergeCell ref="K26:K37"/>
    <mergeCell ref="K38:K49"/>
    <mergeCell ref="H144:H155"/>
    <mergeCell ref="I2:I13"/>
    <mergeCell ref="I14:I25"/>
    <mergeCell ref="I26:I37"/>
    <mergeCell ref="I38:I49"/>
    <mergeCell ref="I108:I119"/>
    <mergeCell ref="I120:I131"/>
    <mergeCell ref="I132:I143"/>
    <mergeCell ref="C14:C25"/>
    <mergeCell ref="C120:C131"/>
    <mergeCell ref="C108:C119"/>
    <mergeCell ref="C2:C13"/>
    <mergeCell ref="C38:C49"/>
    <mergeCell ref="C26:C37"/>
    <mergeCell ref="B2:B13"/>
    <mergeCell ref="A2:A13"/>
    <mergeCell ref="A14:A25"/>
    <mergeCell ref="B14:B25"/>
    <mergeCell ref="A26:A37"/>
    <mergeCell ref="B26:B37"/>
    <mergeCell ref="A38:A49"/>
    <mergeCell ref="B38:B49"/>
    <mergeCell ref="A108:A119"/>
    <mergeCell ref="B108:B119"/>
    <mergeCell ref="A120:A131"/>
    <mergeCell ref="B120:B131"/>
    <mergeCell ref="E14:E25"/>
    <mergeCell ref="D2:D13"/>
    <mergeCell ref="E2:E13"/>
    <mergeCell ref="D14:D25"/>
    <mergeCell ref="F2:F13"/>
    <mergeCell ref="F14:F25"/>
    <mergeCell ref="F26:F37"/>
    <mergeCell ref="F38:F49"/>
    <mergeCell ref="E120:E131"/>
    <mergeCell ref="D108:D119"/>
    <mergeCell ref="E108:E119"/>
    <mergeCell ref="D120:D131"/>
    <mergeCell ref="E26:E37"/>
    <mergeCell ref="E38:E49"/>
    <mergeCell ref="F108:F119"/>
    <mergeCell ref="F120:F131"/>
    <mergeCell ref="D26:D37"/>
    <mergeCell ref="D38:D49"/>
    <mergeCell ref="F132:F143"/>
    <mergeCell ref="F144:F155"/>
    <mergeCell ref="A50:A63"/>
    <mergeCell ref="B50:B63"/>
    <mergeCell ref="C50:C63"/>
    <mergeCell ref="D50:D63"/>
    <mergeCell ref="E50:E63"/>
    <mergeCell ref="F50:F63"/>
    <mergeCell ref="A80:A93"/>
    <mergeCell ref="B80:B93"/>
    <mergeCell ref="C80:C93"/>
    <mergeCell ref="D80:D93"/>
    <mergeCell ref="E80:E93"/>
    <mergeCell ref="F80:F93"/>
    <mergeCell ref="D132:D143"/>
    <mergeCell ref="E132:E143"/>
    <mergeCell ref="D144:D155"/>
    <mergeCell ref="E144:E155"/>
    <mergeCell ref="A132:A143"/>
    <mergeCell ref="B132:B143"/>
    <mergeCell ref="A144:A155"/>
    <mergeCell ref="B144:B155"/>
    <mergeCell ref="C144:C155"/>
    <mergeCell ref="C132:C143"/>
    <mergeCell ref="G50:G63"/>
    <mergeCell ref="H50:H63"/>
    <mergeCell ref="I50:I63"/>
    <mergeCell ref="J50:J63"/>
    <mergeCell ref="K50:K63"/>
    <mergeCell ref="S50:S63"/>
    <mergeCell ref="A64:A79"/>
    <mergeCell ref="B64:B79"/>
    <mergeCell ref="C64:C79"/>
    <mergeCell ref="D64:D79"/>
    <mergeCell ref="E64:E79"/>
    <mergeCell ref="F64:F79"/>
    <mergeCell ref="G64:G79"/>
    <mergeCell ref="H64:H79"/>
    <mergeCell ref="I64:I79"/>
    <mergeCell ref="J64:J79"/>
    <mergeCell ref="K64:K79"/>
    <mergeCell ref="S64:S79"/>
    <mergeCell ref="G80:G93"/>
    <mergeCell ref="H80:H93"/>
    <mergeCell ref="I80:I93"/>
    <mergeCell ref="J80:J93"/>
    <mergeCell ref="K80:K93"/>
    <mergeCell ref="A94:A107"/>
    <mergeCell ref="B94:B107"/>
    <mergeCell ref="C94:C107"/>
    <mergeCell ref="D94:D107"/>
    <mergeCell ref="E94:E107"/>
    <mergeCell ref="F94:F107"/>
    <mergeCell ref="G94:G107"/>
    <mergeCell ref="H94:H107"/>
    <mergeCell ref="I94:I107"/>
    <mergeCell ref="J94:J107"/>
    <mergeCell ref="K94:K107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HTBar</vt:lpstr>
      <vt:lpstr>HTBar Individual</vt:lpstr>
      <vt:lpstr>ITBar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Sheth</dc:creator>
  <cp:lastModifiedBy>Priyam Sheth</cp:lastModifiedBy>
  <dcterms:created xsi:type="dcterms:W3CDTF">2015-06-05T18:17:20Z</dcterms:created>
  <dcterms:modified xsi:type="dcterms:W3CDTF">2024-05-21T03:39:27Z</dcterms:modified>
</cp:coreProperties>
</file>