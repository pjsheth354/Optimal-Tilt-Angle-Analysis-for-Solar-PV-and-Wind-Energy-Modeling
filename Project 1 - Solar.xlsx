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C:\Users\priya\Downloads\Renewable Energy for Mechanical Engineering\Project 1\"/>
    </mc:Choice>
  </mc:AlternateContent>
  <xr:revisionPtr revIDLastSave="0" documentId="13_ncr:1_{EFEAE844-CE4D-472F-B4F7-1411F3F7D5A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6" i="1" l="1"/>
  <c r="G86" i="1"/>
  <c r="H86" i="1"/>
  <c r="I86" i="1"/>
  <c r="J86" i="1"/>
  <c r="K86" i="1"/>
  <c r="L86" i="1"/>
  <c r="M86" i="1"/>
  <c r="N86" i="1"/>
  <c r="O86" i="1"/>
  <c r="P86" i="1"/>
  <c r="E86" i="1"/>
  <c r="F85" i="1"/>
  <c r="G85" i="1"/>
  <c r="H85" i="1"/>
  <c r="I85" i="1"/>
  <c r="J85" i="1"/>
  <c r="K85" i="1"/>
  <c r="L85" i="1"/>
  <c r="M85" i="1"/>
  <c r="N85" i="1"/>
  <c r="O85" i="1"/>
  <c r="P85" i="1"/>
  <c r="E85" i="1"/>
  <c r="T82" i="1"/>
  <c r="F84" i="1"/>
  <c r="G84" i="1"/>
  <c r="H84" i="1"/>
  <c r="I84" i="1"/>
  <c r="J84" i="1"/>
  <c r="K84" i="1"/>
  <c r="L84" i="1"/>
  <c r="M84" i="1"/>
  <c r="N84" i="1"/>
  <c r="O84" i="1"/>
  <c r="P84" i="1"/>
  <c r="E84" i="1"/>
  <c r="F82" i="1"/>
  <c r="G82" i="1"/>
  <c r="H82" i="1"/>
  <c r="I82" i="1"/>
  <c r="J82" i="1"/>
  <c r="K82" i="1"/>
  <c r="L82" i="1"/>
  <c r="M82" i="1"/>
  <c r="N82" i="1"/>
  <c r="O82" i="1"/>
  <c r="P82" i="1"/>
  <c r="E82" i="1"/>
  <c r="E77" i="1" l="1"/>
  <c r="F75" i="1"/>
  <c r="G75" i="1"/>
  <c r="H75" i="1"/>
  <c r="I75" i="1"/>
  <c r="J75" i="1"/>
  <c r="K75" i="1"/>
  <c r="L75" i="1"/>
  <c r="M75" i="1"/>
  <c r="N75" i="1"/>
  <c r="O75" i="1"/>
  <c r="P75" i="1"/>
  <c r="E75" i="1"/>
  <c r="F74" i="1"/>
  <c r="G74" i="1"/>
  <c r="H74" i="1"/>
  <c r="I74" i="1"/>
  <c r="J74" i="1"/>
  <c r="K74" i="1"/>
  <c r="L74" i="1"/>
  <c r="M74" i="1"/>
  <c r="N74" i="1"/>
  <c r="O74" i="1"/>
  <c r="P74" i="1"/>
  <c r="E74" i="1"/>
  <c r="E72" i="1"/>
  <c r="F72" i="1"/>
  <c r="G72" i="1"/>
  <c r="H72" i="1"/>
  <c r="I72" i="1"/>
  <c r="J72" i="1"/>
  <c r="K72" i="1"/>
  <c r="L72" i="1"/>
  <c r="M72" i="1"/>
  <c r="N72" i="1"/>
  <c r="O72" i="1"/>
  <c r="P72" i="1"/>
  <c r="F71" i="1"/>
  <c r="G71" i="1"/>
  <c r="H71" i="1"/>
  <c r="I71" i="1"/>
  <c r="J71" i="1"/>
  <c r="K71" i="1"/>
  <c r="L71" i="1"/>
  <c r="M71" i="1"/>
  <c r="N71" i="1"/>
  <c r="O71" i="1"/>
  <c r="P71" i="1"/>
  <c r="F70" i="1"/>
  <c r="G70" i="1"/>
  <c r="H70" i="1"/>
  <c r="I70" i="1"/>
  <c r="J70" i="1"/>
  <c r="K70" i="1"/>
  <c r="L70" i="1"/>
  <c r="M70" i="1"/>
  <c r="N70" i="1"/>
  <c r="O70" i="1"/>
  <c r="P70" i="1"/>
  <c r="F69" i="1"/>
  <c r="G69" i="1"/>
  <c r="H69" i="1"/>
  <c r="I69" i="1"/>
  <c r="J69" i="1"/>
  <c r="K69" i="1"/>
  <c r="L69" i="1"/>
  <c r="M69" i="1"/>
  <c r="N69" i="1"/>
  <c r="O69" i="1"/>
  <c r="P69" i="1"/>
  <c r="F68" i="1"/>
  <c r="G68" i="1"/>
  <c r="H68" i="1"/>
  <c r="I68" i="1"/>
  <c r="J68" i="1"/>
  <c r="K68" i="1"/>
  <c r="L68" i="1"/>
  <c r="M68" i="1"/>
  <c r="N68" i="1"/>
  <c r="O68" i="1"/>
  <c r="P68" i="1"/>
  <c r="F67" i="1"/>
  <c r="G67" i="1"/>
  <c r="H67" i="1"/>
  <c r="I67" i="1"/>
  <c r="J67" i="1"/>
  <c r="K67" i="1"/>
  <c r="L67" i="1"/>
  <c r="M67" i="1"/>
  <c r="N67" i="1"/>
  <c r="O67" i="1"/>
  <c r="P67" i="1"/>
  <c r="F66" i="1"/>
  <c r="G66" i="1"/>
  <c r="H66" i="1"/>
  <c r="I66" i="1"/>
  <c r="J66" i="1"/>
  <c r="K66" i="1"/>
  <c r="L66" i="1"/>
  <c r="M66" i="1"/>
  <c r="N66" i="1"/>
  <c r="O66" i="1"/>
  <c r="P66" i="1"/>
  <c r="F65" i="1"/>
  <c r="G65" i="1"/>
  <c r="H65" i="1"/>
  <c r="I65" i="1"/>
  <c r="J65" i="1"/>
  <c r="K65" i="1"/>
  <c r="L65" i="1"/>
  <c r="M65" i="1"/>
  <c r="N65" i="1"/>
  <c r="O65" i="1"/>
  <c r="P65" i="1"/>
  <c r="F64" i="1"/>
  <c r="G64" i="1"/>
  <c r="H64" i="1"/>
  <c r="I64" i="1"/>
  <c r="J64" i="1"/>
  <c r="K64" i="1"/>
  <c r="L64" i="1"/>
  <c r="M64" i="1"/>
  <c r="N64" i="1"/>
  <c r="O64" i="1"/>
  <c r="P64" i="1"/>
  <c r="F63" i="1"/>
  <c r="G63" i="1"/>
  <c r="H63" i="1"/>
  <c r="I63" i="1"/>
  <c r="J63" i="1"/>
  <c r="K63" i="1"/>
  <c r="L63" i="1"/>
  <c r="M63" i="1"/>
  <c r="N63" i="1"/>
  <c r="O63" i="1"/>
  <c r="P63" i="1"/>
  <c r="F62" i="1"/>
  <c r="G62" i="1"/>
  <c r="H62" i="1"/>
  <c r="I62" i="1"/>
  <c r="J62" i="1"/>
  <c r="K62" i="1"/>
  <c r="L62" i="1"/>
  <c r="M62" i="1"/>
  <c r="N62" i="1"/>
  <c r="O62" i="1"/>
  <c r="P62" i="1"/>
  <c r="F61" i="1"/>
  <c r="G61" i="1"/>
  <c r="H61" i="1"/>
  <c r="I61" i="1"/>
  <c r="J61" i="1"/>
  <c r="K61" i="1"/>
  <c r="L61" i="1"/>
  <c r="M61" i="1"/>
  <c r="N61" i="1"/>
  <c r="O61" i="1"/>
  <c r="P61" i="1"/>
  <c r="F60" i="1"/>
  <c r="G60" i="1"/>
  <c r="H60" i="1"/>
  <c r="I60" i="1"/>
  <c r="J60" i="1"/>
  <c r="K60" i="1"/>
  <c r="L60" i="1"/>
  <c r="M60" i="1"/>
  <c r="N60" i="1"/>
  <c r="O60" i="1"/>
  <c r="P60" i="1"/>
  <c r="F59" i="1"/>
  <c r="G59" i="1"/>
  <c r="H59" i="1"/>
  <c r="I59" i="1"/>
  <c r="J59" i="1"/>
  <c r="K59" i="1"/>
  <c r="L59" i="1"/>
  <c r="M59" i="1"/>
  <c r="N59" i="1"/>
  <c r="O59" i="1"/>
  <c r="P59" i="1"/>
  <c r="F58" i="1"/>
  <c r="G58" i="1"/>
  <c r="H58" i="1"/>
  <c r="I58" i="1"/>
  <c r="J58" i="1"/>
  <c r="K58" i="1"/>
  <c r="L58" i="1"/>
  <c r="M58" i="1"/>
  <c r="N58" i="1"/>
  <c r="O58" i="1"/>
  <c r="P58" i="1"/>
  <c r="F57" i="1"/>
  <c r="G57" i="1"/>
  <c r="H57" i="1"/>
  <c r="I57" i="1"/>
  <c r="J57" i="1"/>
  <c r="K57" i="1"/>
  <c r="L57" i="1"/>
  <c r="M57" i="1"/>
  <c r="N57" i="1"/>
  <c r="O57" i="1"/>
  <c r="P57" i="1"/>
  <c r="F56" i="1"/>
  <c r="G56" i="1"/>
  <c r="H56" i="1"/>
  <c r="I56" i="1"/>
  <c r="J56" i="1"/>
  <c r="K56" i="1"/>
  <c r="L56" i="1"/>
  <c r="M56" i="1"/>
  <c r="N56" i="1"/>
  <c r="O56" i="1"/>
  <c r="P56" i="1"/>
  <c r="F55" i="1"/>
  <c r="G55" i="1"/>
  <c r="H55" i="1"/>
  <c r="I55" i="1"/>
  <c r="J55" i="1"/>
  <c r="K55" i="1"/>
  <c r="L55" i="1"/>
  <c r="M55" i="1"/>
  <c r="N55" i="1"/>
  <c r="O55" i="1"/>
  <c r="P55" i="1"/>
  <c r="F54" i="1"/>
  <c r="G54" i="1"/>
  <c r="H54" i="1"/>
  <c r="I54" i="1"/>
  <c r="J54" i="1"/>
  <c r="K54" i="1"/>
  <c r="L54" i="1"/>
  <c r="M54" i="1"/>
  <c r="N54" i="1"/>
  <c r="O54" i="1"/>
  <c r="P54" i="1"/>
  <c r="F53" i="1"/>
  <c r="G53" i="1"/>
  <c r="H53" i="1"/>
  <c r="I53" i="1"/>
  <c r="J53" i="1"/>
  <c r="K53" i="1"/>
  <c r="L53" i="1"/>
  <c r="M53" i="1"/>
  <c r="N53" i="1"/>
  <c r="O53" i="1"/>
  <c r="P53" i="1"/>
  <c r="F52" i="1"/>
  <c r="G52" i="1"/>
  <c r="H52" i="1"/>
  <c r="I52" i="1"/>
  <c r="J52" i="1"/>
  <c r="K52" i="1"/>
  <c r="L52" i="1"/>
  <c r="M52" i="1"/>
  <c r="N52" i="1"/>
  <c r="O52" i="1"/>
  <c r="P52" i="1"/>
  <c r="F51" i="1"/>
  <c r="G51" i="1"/>
  <c r="H51" i="1"/>
  <c r="I51" i="1"/>
  <c r="J51" i="1"/>
  <c r="K51" i="1"/>
  <c r="L51" i="1"/>
  <c r="M51" i="1"/>
  <c r="N51" i="1"/>
  <c r="O51" i="1"/>
  <c r="P51" i="1"/>
  <c r="F50" i="1"/>
  <c r="G50" i="1"/>
  <c r="H50" i="1"/>
  <c r="I50" i="1"/>
  <c r="J50" i="1"/>
  <c r="K50" i="1"/>
  <c r="L50" i="1"/>
  <c r="M50" i="1"/>
  <c r="N50" i="1"/>
  <c r="O50" i="1"/>
  <c r="P50" i="1"/>
  <c r="F49" i="1"/>
  <c r="G49" i="1"/>
  <c r="H49" i="1"/>
  <c r="I49" i="1"/>
  <c r="J49" i="1"/>
  <c r="K49" i="1"/>
  <c r="L49" i="1"/>
  <c r="M49" i="1"/>
  <c r="N49" i="1"/>
  <c r="O49" i="1"/>
  <c r="P49" i="1"/>
  <c r="F48" i="1"/>
  <c r="G48" i="1"/>
  <c r="H48" i="1"/>
  <c r="I48" i="1"/>
  <c r="J48" i="1"/>
  <c r="K48" i="1"/>
  <c r="L48" i="1"/>
  <c r="M48" i="1"/>
  <c r="N48" i="1"/>
  <c r="O48" i="1"/>
  <c r="P48" i="1"/>
  <c r="F47" i="1"/>
  <c r="G47" i="1"/>
  <c r="H47" i="1"/>
  <c r="I47" i="1"/>
  <c r="J47" i="1"/>
  <c r="K47" i="1"/>
  <c r="L47" i="1"/>
  <c r="M47" i="1"/>
  <c r="N47" i="1"/>
  <c r="O47" i="1"/>
  <c r="P47" i="1"/>
  <c r="F46" i="1"/>
  <c r="G46" i="1"/>
  <c r="H46" i="1"/>
  <c r="I46" i="1"/>
  <c r="J46" i="1"/>
  <c r="K46" i="1"/>
  <c r="L46" i="1"/>
  <c r="M46" i="1"/>
  <c r="N46" i="1"/>
  <c r="O46" i="1"/>
  <c r="P46" i="1"/>
  <c r="F45" i="1"/>
  <c r="G45" i="1"/>
  <c r="H45" i="1"/>
  <c r="I45" i="1"/>
  <c r="J45" i="1"/>
  <c r="K45" i="1"/>
  <c r="L45" i="1"/>
  <c r="M45" i="1"/>
  <c r="N45" i="1"/>
  <c r="O45" i="1"/>
  <c r="P45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F44" i="1"/>
  <c r="G44" i="1"/>
  <c r="H44" i="1"/>
  <c r="I44" i="1"/>
  <c r="J44" i="1"/>
  <c r="K44" i="1"/>
  <c r="L44" i="1"/>
  <c r="M44" i="1"/>
  <c r="N44" i="1"/>
  <c r="O44" i="1"/>
  <c r="P44" i="1"/>
  <c r="E44" i="1"/>
  <c r="E43" i="1"/>
  <c r="F43" i="1"/>
  <c r="G43" i="1"/>
  <c r="H43" i="1"/>
  <c r="I43" i="1"/>
  <c r="J43" i="1"/>
  <c r="K43" i="1"/>
  <c r="L43" i="1"/>
  <c r="M43" i="1"/>
  <c r="N43" i="1"/>
  <c r="O43" i="1"/>
  <c r="P43" i="1"/>
  <c r="E7" i="1"/>
  <c r="E38" i="1" s="1"/>
  <c r="D72" i="1"/>
  <c r="D66" i="1"/>
  <c r="D67" i="1"/>
  <c r="D68" i="1"/>
  <c r="D69" i="1"/>
  <c r="D70" i="1"/>
  <c r="D71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43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12" i="1"/>
  <c r="S3" i="1"/>
  <c r="F41" i="1"/>
  <c r="G41" i="1"/>
  <c r="H41" i="1"/>
  <c r="I41" i="1"/>
  <c r="J41" i="1"/>
  <c r="K41" i="1"/>
  <c r="L41" i="1"/>
  <c r="M41" i="1"/>
  <c r="N41" i="1"/>
  <c r="O41" i="1"/>
  <c r="P41" i="1"/>
  <c r="F40" i="1"/>
  <c r="G40" i="1"/>
  <c r="H40" i="1"/>
  <c r="I40" i="1"/>
  <c r="J40" i="1"/>
  <c r="K40" i="1"/>
  <c r="L40" i="1"/>
  <c r="M40" i="1"/>
  <c r="N40" i="1"/>
  <c r="O40" i="1"/>
  <c r="P40" i="1"/>
  <c r="F39" i="1"/>
  <c r="G39" i="1"/>
  <c r="H39" i="1"/>
  <c r="I39" i="1"/>
  <c r="J39" i="1"/>
  <c r="K39" i="1"/>
  <c r="L39" i="1"/>
  <c r="M39" i="1"/>
  <c r="N39" i="1"/>
  <c r="O39" i="1"/>
  <c r="P39" i="1"/>
  <c r="F38" i="1"/>
  <c r="G38" i="1"/>
  <c r="H38" i="1"/>
  <c r="I38" i="1"/>
  <c r="J38" i="1"/>
  <c r="K38" i="1"/>
  <c r="L38" i="1"/>
  <c r="M38" i="1"/>
  <c r="N38" i="1"/>
  <c r="O38" i="1"/>
  <c r="P38" i="1"/>
  <c r="F37" i="1"/>
  <c r="G37" i="1"/>
  <c r="H37" i="1"/>
  <c r="I37" i="1"/>
  <c r="J37" i="1"/>
  <c r="K37" i="1"/>
  <c r="L37" i="1"/>
  <c r="M37" i="1"/>
  <c r="N37" i="1"/>
  <c r="O37" i="1"/>
  <c r="P37" i="1"/>
  <c r="F36" i="1"/>
  <c r="G36" i="1"/>
  <c r="H36" i="1"/>
  <c r="I36" i="1"/>
  <c r="J36" i="1"/>
  <c r="K36" i="1"/>
  <c r="L36" i="1"/>
  <c r="M36" i="1"/>
  <c r="N36" i="1"/>
  <c r="O36" i="1"/>
  <c r="P36" i="1"/>
  <c r="F35" i="1"/>
  <c r="G35" i="1"/>
  <c r="H35" i="1"/>
  <c r="I35" i="1"/>
  <c r="J35" i="1"/>
  <c r="K35" i="1"/>
  <c r="L35" i="1"/>
  <c r="M35" i="1"/>
  <c r="N35" i="1"/>
  <c r="O35" i="1"/>
  <c r="P35" i="1"/>
  <c r="F34" i="1"/>
  <c r="G34" i="1"/>
  <c r="H34" i="1"/>
  <c r="I34" i="1"/>
  <c r="J34" i="1"/>
  <c r="K34" i="1"/>
  <c r="L34" i="1"/>
  <c r="M34" i="1"/>
  <c r="N34" i="1"/>
  <c r="O34" i="1"/>
  <c r="P34" i="1"/>
  <c r="F33" i="1"/>
  <c r="G33" i="1"/>
  <c r="H33" i="1"/>
  <c r="I33" i="1"/>
  <c r="J33" i="1"/>
  <c r="K33" i="1"/>
  <c r="L33" i="1"/>
  <c r="M33" i="1"/>
  <c r="N33" i="1"/>
  <c r="O33" i="1"/>
  <c r="P33" i="1"/>
  <c r="F32" i="1"/>
  <c r="G32" i="1"/>
  <c r="H32" i="1"/>
  <c r="I32" i="1"/>
  <c r="J32" i="1"/>
  <c r="K32" i="1"/>
  <c r="L32" i="1"/>
  <c r="M32" i="1"/>
  <c r="N32" i="1"/>
  <c r="O32" i="1"/>
  <c r="P32" i="1"/>
  <c r="F31" i="1"/>
  <c r="G31" i="1"/>
  <c r="H31" i="1"/>
  <c r="I31" i="1"/>
  <c r="J31" i="1"/>
  <c r="K31" i="1"/>
  <c r="L31" i="1"/>
  <c r="M31" i="1"/>
  <c r="N31" i="1"/>
  <c r="O31" i="1"/>
  <c r="P31" i="1"/>
  <c r="F30" i="1"/>
  <c r="G30" i="1"/>
  <c r="H30" i="1"/>
  <c r="I30" i="1"/>
  <c r="J30" i="1"/>
  <c r="K30" i="1"/>
  <c r="L30" i="1"/>
  <c r="M30" i="1"/>
  <c r="N30" i="1"/>
  <c r="O30" i="1"/>
  <c r="P30" i="1"/>
  <c r="F29" i="1"/>
  <c r="G29" i="1"/>
  <c r="H29" i="1"/>
  <c r="I29" i="1"/>
  <c r="J29" i="1"/>
  <c r="K29" i="1"/>
  <c r="L29" i="1"/>
  <c r="M29" i="1"/>
  <c r="N29" i="1"/>
  <c r="O29" i="1"/>
  <c r="P29" i="1"/>
  <c r="F28" i="1"/>
  <c r="G28" i="1"/>
  <c r="H28" i="1"/>
  <c r="I28" i="1"/>
  <c r="J28" i="1"/>
  <c r="K28" i="1"/>
  <c r="L28" i="1"/>
  <c r="M28" i="1"/>
  <c r="N28" i="1"/>
  <c r="O28" i="1"/>
  <c r="P28" i="1"/>
  <c r="F27" i="1"/>
  <c r="G27" i="1"/>
  <c r="H27" i="1"/>
  <c r="I27" i="1"/>
  <c r="J27" i="1"/>
  <c r="K27" i="1"/>
  <c r="L27" i="1"/>
  <c r="M27" i="1"/>
  <c r="N27" i="1"/>
  <c r="O27" i="1"/>
  <c r="P27" i="1"/>
  <c r="F26" i="1"/>
  <c r="G26" i="1"/>
  <c r="H26" i="1"/>
  <c r="I26" i="1"/>
  <c r="J26" i="1"/>
  <c r="K26" i="1"/>
  <c r="L26" i="1"/>
  <c r="M26" i="1"/>
  <c r="N26" i="1"/>
  <c r="O26" i="1"/>
  <c r="P26" i="1"/>
  <c r="E26" i="1"/>
  <c r="F25" i="1"/>
  <c r="G25" i="1"/>
  <c r="H25" i="1"/>
  <c r="I25" i="1"/>
  <c r="J25" i="1"/>
  <c r="K25" i="1"/>
  <c r="L25" i="1"/>
  <c r="M25" i="1"/>
  <c r="N25" i="1"/>
  <c r="O25" i="1"/>
  <c r="P25" i="1"/>
  <c r="E25" i="1"/>
  <c r="F24" i="1"/>
  <c r="G24" i="1"/>
  <c r="H24" i="1"/>
  <c r="I24" i="1"/>
  <c r="J24" i="1"/>
  <c r="K24" i="1"/>
  <c r="L24" i="1"/>
  <c r="M24" i="1"/>
  <c r="N24" i="1"/>
  <c r="O24" i="1"/>
  <c r="P24" i="1"/>
  <c r="E24" i="1"/>
  <c r="F23" i="1"/>
  <c r="G23" i="1"/>
  <c r="H23" i="1"/>
  <c r="I23" i="1"/>
  <c r="J23" i="1"/>
  <c r="K23" i="1"/>
  <c r="L23" i="1"/>
  <c r="M23" i="1"/>
  <c r="N23" i="1"/>
  <c r="O23" i="1"/>
  <c r="P23" i="1"/>
  <c r="E23" i="1"/>
  <c r="F22" i="1"/>
  <c r="G22" i="1"/>
  <c r="H22" i="1"/>
  <c r="I22" i="1"/>
  <c r="J22" i="1"/>
  <c r="K22" i="1"/>
  <c r="L22" i="1"/>
  <c r="M22" i="1"/>
  <c r="N22" i="1"/>
  <c r="O22" i="1"/>
  <c r="P22" i="1"/>
  <c r="E22" i="1"/>
  <c r="F21" i="1"/>
  <c r="G21" i="1"/>
  <c r="H21" i="1"/>
  <c r="I21" i="1"/>
  <c r="J21" i="1"/>
  <c r="K21" i="1"/>
  <c r="L21" i="1"/>
  <c r="M21" i="1"/>
  <c r="N21" i="1"/>
  <c r="O21" i="1"/>
  <c r="P21" i="1"/>
  <c r="E21" i="1"/>
  <c r="F20" i="1"/>
  <c r="G20" i="1"/>
  <c r="H20" i="1"/>
  <c r="I20" i="1"/>
  <c r="J20" i="1"/>
  <c r="K20" i="1"/>
  <c r="L20" i="1"/>
  <c r="M20" i="1"/>
  <c r="N20" i="1"/>
  <c r="O20" i="1"/>
  <c r="P20" i="1"/>
  <c r="E20" i="1"/>
  <c r="F19" i="1"/>
  <c r="G19" i="1"/>
  <c r="H19" i="1"/>
  <c r="I19" i="1"/>
  <c r="J19" i="1"/>
  <c r="K19" i="1"/>
  <c r="L19" i="1"/>
  <c r="M19" i="1"/>
  <c r="N19" i="1"/>
  <c r="O19" i="1"/>
  <c r="P19" i="1"/>
  <c r="E19" i="1"/>
  <c r="F18" i="1"/>
  <c r="G18" i="1"/>
  <c r="H18" i="1"/>
  <c r="I18" i="1"/>
  <c r="J18" i="1"/>
  <c r="K18" i="1"/>
  <c r="L18" i="1"/>
  <c r="M18" i="1"/>
  <c r="N18" i="1"/>
  <c r="O18" i="1"/>
  <c r="P18" i="1"/>
  <c r="E18" i="1"/>
  <c r="E17" i="1"/>
  <c r="F17" i="1"/>
  <c r="G17" i="1"/>
  <c r="H17" i="1"/>
  <c r="I17" i="1"/>
  <c r="J17" i="1"/>
  <c r="K17" i="1"/>
  <c r="L17" i="1"/>
  <c r="M17" i="1"/>
  <c r="N17" i="1"/>
  <c r="O17" i="1"/>
  <c r="P17" i="1"/>
  <c r="F16" i="1"/>
  <c r="G16" i="1"/>
  <c r="H16" i="1"/>
  <c r="I16" i="1"/>
  <c r="J16" i="1"/>
  <c r="K16" i="1"/>
  <c r="L16" i="1"/>
  <c r="M16" i="1"/>
  <c r="N16" i="1"/>
  <c r="O16" i="1"/>
  <c r="P16" i="1"/>
  <c r="E16" i="1"/>
  <c r="F15" i="1"/>
  <c r="G15" i="1"/>
  <c r="H15" i="1"/>
  <c r="I15" i="1"/>
  <c r="J15" i="1"/>
  <c r="K15" i="1"/>
  <c r="L15" i="1"/>
  <c r="M15" i="1"/>
  <c r="N15" i="1"/>
  <c r="O15" i="1"/>
  <c r="P15" i="1"/>
  <c r="E15" i="1"/>
  <c r="F14" i="1"/>
  <c r="G14" i="1"/>
  <c r="H14" i="1"/>
  <c r="I14" i="1"/>
  <c r="J14" i="1"/>
  <c r="K14" i="1"/>
  <c r="L14" i="1"/>
  <c r="M14" i="1"/>
  <c r="N14" i="1"/>
  <c r="O14" i="1"/>
  <c r="P14" i="1"/>
  <c r="E14" i="1"/>
  <c r="F13" i="1"/>
  <c r="G13" i="1"/>
  <c r="H13" i="1"/>
  <c r="I13" i="1"/>
  <c r="J13" i="1"/>
  <c r="K13" i="1"/>
  <c r="L13" i="1"/>
  <c r="M13" i="1"/>
  <c r="N13" i="1"/>
  <c r="O13" i="1"/>
  <c r="P13" i="1"/>
  <c r="E13" i="1"/>
  <c r="E12" i="1"/>
  <c r="F12" i="1"/>
  <c r="G12" i="1"/>
  <c r="H12" i="1"/>
  <c r="I12" i="1"/>
  <c r="J12" i="1"/>
  <c r="K12" i="1"/>
  <c r="L12" i="1"/>
  <c r="M12" i="1"/>
  <c r="N12" i="1"/>
  <c r="O12" i="1"/>
  <c r="P12" i="1"/>
  <c r="E28" i="1" l="1"/>
  <c r="E30" i="1"/>
  <c r="E32" i="1"/>
  <c r="E34" i="1"/>
  <c r="E36" i="1"/>
  <c r="E37" i="1"/>
  <c r="E39" i="1"/>
  <c r="E40" i="1"/>
  <c r="E41" i="1"/>
  <c r="E27" i="1"/>
  <c r="E29" i="1"/>
  <c r="E31" i="1"/>
  <c r="E33" i="1"/>
  <c r="E35" i="1"/>
  <c r="U32" i="1"/>
  <c r="V32" i="1"/>
  <c r="W32" i="1"/>
  <c r="X32" i="1"/>
  <c r="Y32" i="1"/>
  <c r="Z32" i="1"/>
  <c r="AA32" i="1"/>
  <c r="AB32" i="1"/>
  <c r="AC32" i="1"/>
  <c r="AD32" i="1"/>
  <c r="AE32" i="1"/>
  <c r="U31" i="1"/>
  <c r="V31" i="1"/>
  <c r="W31" i="1"/>
  <c r="X31" i="1"/>
  <c r="Y31" i="1"/>
  <c r="Z31" i="1"/>
  <c r="AA31" i="1"/>
  <c r="AB31" i="1"/>
  <c r="AC31" i="1"/>
  <c r="AD31" i="1"/>
  <c r="AE31" i="1"/>
  <c r="U30" i="1"/>
  <c r="V30" i="1"/>
  <c r="W30" i="1"/>
  <c r="X30" i="1"/>
  <c r="Y30" i="1"/>
  <c r="Z30" i="1"/>
  <c r="AA30" i="1"/>
  <c r="AB30" i="1"/>
  <c r="AC30" i="1"/>
  <c r="AD30" i="1"/>
  <c r="AE30" i="1"/>
  <c r="U29" i="1"/>
  <c r="V29" i="1"/>
  <c r="W29" i="1"/>
  <c r="X29" i="1"/>
  <c r="Y29" i="1"/>
  <c r="Z29" i="1"/>
  <c r="AA29" i="1"/>
  <c r="AB29" i="1"/>
  <c r="AC29" i="1"/>
  <c r="AD29" i="1"/>
  <c r="AE29" i="1"/>
  <c r="U28" i="1"/>
  <c r="V28" i="1"/>
  <c r="W28" i="1"/>
  <c r="X28" i="1"/>
  <c r="Y28" i="1"/>
  <c r="Z28" i="1"/>
  <c r="AA28" i="1"/>
  <c r="AB28" i="1"/>
  <c r="AC28" i="1"/>
  <c r="AD28" i="1"/>
  <c r="AE28" i="1"/>
  <c r="U27" i="1"/>
  <c r="V27" i="1"/>
  <c r="W27" i="1"/>
  <c r="X27" i="1"/>
  <c r="Y27" i="1"/>
  <c r="Z27" i="1"/>
  <c r="AA27" i="1"/>
  <c r="AB27" i="1"/>
  <c r="AC27" i="1"/>
  <c r="AD27" i="1"/>
  <c r="AE27" i="1"/>
  <c r="U26" i="1"/>
  <c r="V26" i="1"/>
  <c r="W26" i="1"/>
  <c r="X26" i="1"/>
  <c r="Y26" i="1"/>
  <c r="Z26" i="1"/>
  <c r="AA26" i="1"/>
  <c r="AB26" i="1"/>
  <c r="AC26" i="1"/>
  <c r="AD26" i="1"/>
  <c r="AE26" i="1"/>
  <c r="U25" i="1"/>
  <c r="V25" i="1"/>
  <c r="W25" i="1"/>
  <c r="X25" i="1"/>
  <c r="Y25" i="1"/>
  <c r="Z25" i="1"/>
  <c r="AA25" i="1"/>
  <c r="AB25" i="1"/>
  <c r="AC25" i="1"/>
  <c r="AD25" i="1"/>
  <c r="AE25" i="1"/>
  <c r="U24" i="1"/>
  <c r="V24" i="1"/>
  <c r="W24" i="1"/>
  <c r="X24" i="1"/>
  <c r="Y24" i="1"/>
  <c r="Z24" i="1"/>
  <c r="AA24" i="1"/>
  <c r="AB24" i="1"/>
  <c r="AC24" i="1"/>
  <c r="AD24" i="1"/>
  <c r="AE24" i="1"/>
  <c r="U23" i="1"/>
  <c r="V23" i="1"/>
  <c r="W23" i="1"/>
  <c r="X23" i="1"/>
  <c r="Y23" i="1"/>
  <c r="Z23" i="1"/>
  <c r="AA23" i="1"/>
  <c r="AB23" i="1"/>
  <c r="AC23" i="1"/>
  <c r="AD23" i="1"/>
  <c r="AE23" i="1"/>
  <c r="U22" i="1"/>
  <c r="V22" i="1"/>
  <c r="W22" i="1"/>
  <c r="X22" i="1"/>
  <c r="Y22" i="1"/>
  <c r="Z22" i="1"/>
  <c r="AA22" i="1"/>
  <c r="AB22" i="1"/>
  <c r="AC22" i="1"/>
  <c r="AD22" i="1"/>
  <c r="AE22" i="1"/>
  <c r="U21" i="1"/>
  <c r="V21" i="1"/>
  <c r="W21" i="1"/>
  <c r="X21" i="1"/>
  <c r="Y21" i="1"/>
  <c r="Z21" i="1"/>
  <c r="AA21" i="1"/>
  <c r="AB21" i="1"/>
  <c r="AC21" i="1"/>
  <c r="AD21" i="1"/>
  <c r="AE21" i="1"/>
  <c r="U20" i="1"/>
  <c r="V20" i="1"/>
  <c r="W20" i="1"/>
  <c r="X20" i="1"/>
  <c r="Y20" i="1"/>
  <c r="Z20" i="1"/>
  <c r="AA20" i="1"/>
  <c r="AB20" i="1"/>
  <c r="AC20" i="1"/>
  <c r="AD20" i="1"/>
  <c r="AE20" i="1"/>
  <c r="U19" i="1"/>
  <c r="V19" i="1"/>
  <c r="W19" i="1"/>
  <c r="X19" i="1"/>
  <c r="Y19" i="1"/>
  <c r="Z19" i="1"/>
  <c r="AA19" i="1"/>
  <c r="AB19" i="1"/>
  <c r="AC19" i="1"/>
  <c r="AD19" i="1"/>
  <c r="AE19" i="1"/>
  <c r="U18" i="1"/>
  <c r="V18" i="1"/>
  <c r="W18" i="1"/>
  <c r="X18" i="1"/>
  <c r="Y18" i="1"/>
  <c r="Z18" i="1"/>
  <c r="AA18" i="1"/>
  <c r="AB18" i="1"/>
  <c r="AC18" i="1"/>
  <c r="AD18" i="1"/>
  <c r="AE18" i="1"/>
  <c r="U17" i="1"/>
  <c r="V17" i="1"/>
  <c r="W17" i="1"/>
  <c r="X17" i="1"/>
  <c r="Y17" i="1"/>
  <c r="Z17" i="1"/>
  <c r="AA17" i="1"/>
  <c r="AB17" i="1"/>
  <c r="AC17" i="1"/>
  <c r="AD17" i="1"/>
  <c r="AE17" i="1"/>
  <c r="U16" i="1"/>
  <c r="V16" i="1"/>
  <c r="W16" i="1"/>
  <c r="X16" i="1"/>
  <c r="Y16" i="1"/>
  <c r="Z16" i="1"/>
  <c r="AA16" i="1"/>
  <c r="AB16" i="1"/>
  <c r="AC16" i="1"/>
  <c r="AD16" i="1"/>
  <c r="AE16" i="1"/>
  <c r="U15" i="1"/>
  <c r="V15" i="1"/>
  <c r="W15" i="1"/>
  <c r="X15" i="1"/>
  <c r="Y15" i="1"/>
  <c r="Z15" i="1"/>
  <c r="AA15" i="1"/>
  <c r="AB15" i="1"/>
  <c r="AC15" i="1"/>
  <c r="AD15" i="1"/>
  <c r="AE15" i="1"/>
  <c r="U14" i="1"/>
  <c r="V14" i="1"/>
  <c r="W14" i="1"/>
  <c r="X14" i="1"/>
  <c r="Y14" i="1"/>
  <c r="Z14" i="1"/>
  <c r="AA14" i="1"/>
  <c r="AB14" i="1"/>
  <c r="AC14" i="1"/>
  <c r="AD14" i="1"/>
  <c r="AE14" i="1"/>
  <c r="U13" i="1"/>
  <c r="V13" i="1"/>
  <c r="W13" i="1"/>
  <c r="X13" i="1"/>
  <c r="Y13" i="1"/>
  <c r="Z13" i="1"/>
  <c r="AA13" i="1"/>
  <c r="AB13" i="1"/>
  <c r="AC13" i="1"/>
  <c r="AD13" i="1"/>
  <c r="AE13" i="1"/>
  <c r="U12" i="1"/>
  <c r="V12" i="1"/>
  <c r="W12" i="1"/>
  <c r="X12" i="1"/>
  <c r="Y12" i="1"/>
  <c r="Z12" i="1"/>
  <c r="AA12" i="1"/>
  <c r="AB12" i="1"/>
  <c r="AC12" i="1"/>
  <c r="AD12" i="1"/>
  <c r="AE12" i="1"/>
  <c r="U11" i="1"/>
  <c r="V11" i="1"/>
  <c r="W11" i="1"/>
  <c r="X11" i="1"/>
  <c r="Y11" i="1"/>
  <c r="Z11" i="1"/>
  <c r="AA11" i="1"/>
  <c r="AB11" i="1"/>
  <c r="AC11" i="1"/>
  <c r="AD11" i="1"/>
  <c r="AE11" i="1"/>
  <c r="V10" i="1"/>
  <c r="U10" i="1"/>
  <c r="W10" i="1"/>
  <c r="X10" i="1"/>
  <c r="Y10" i="1"/>
  <c r="Z10" i="1"/>
  <c r="AA10" i="1"/>
  <c r="AB10" i="1"/>
  <c r="AC10" i="1"/>
  <c r="AD10" i="1"/>
  <c r="AE10" i="1"/>
  <c r="U9" i="1"/>
  <c r="V9" i="1"/>
  <c r="W9" i="1"/>
  <c r="X9" i="1"/>
  <c r="Y9" i="1"/>
  <c r="Z9" i="1"/>
  <c r="AA9" i="1"/>
  <c r="AB9" i="1"/>
  <c r="AC9" i="1"/>
  <c r="AD9" i="1"/>
  <c r="AE9" i="1"/>
  <c r="U8" i="1"/>
  <c r="V8" i="1"/>
  <c r="W8" i="1"/>
  <c r="X8" i="1"/>
  <c r="Y8" i="1"/>
  <c r="Z8" i="1"/>
  <c r="AA8" i="1"/>
  <c r="AB8" i="1"/>
  <c r="AC8" i="1"/>
  <c r="AD8" i="1"/>
  <c r="AE8" i="1"/>
  <c r="U7" i="1"/>
  <c r="V7" i="1"/>
  <c r="W7" i="1"/>
  <c r="X7" i="1"/>
  <c r="Y7" i="1"/>
  <c r="Z7" i="1"/>
  <c r="AA7" i="1"/>
  <c r="AB7" i="1"/>
  <c r="AC7" i="1"/>
  <c r="AD7" i="1"/>
  <c r="AE7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5" i="1"/>
  <c r="T16" i="1"/>
  <c r="T14" i="1"/>
  <c r="T13" i="1"/>
  <c r="T12" i="1"/>
  <c r="T11" i="1"/>
  <c r="T10" i="1"/>
  <c r="T9" i="1"/>
  <c r="T8" i="1"/>
  <c r="T7" i="1"/>
  <c r="X3" i="1"/>
  <c r="U6" i="1"/>
  <c r="V6" i="1"/>
  <c r="W6" i="1"/>
  <c r="X6" i="1"/>
  <c r="Y6" i="1"/>
  <c r="Z6" i="1"/>
  <c r="AA6" i="1"/>
  <c r="AB6" i="1"/>
  <c r="AC6" i="1"/>
  <c r="AD6" i="1"/>
  <c r="AE6" i="1"/>
  <c r="T6" i="1"/>
  <c r="T5" i="1"/>
  <c r="U5" i="1"/>
  <c r="V5" i="1"/>
  <c r="W5" i="1"/>
  <c r="X5" i="1"/>
  <c r="Y5" i="1"/>
  <c r="Z5" i="1"/>
  <c r="AA5" i="1"/>
  <c r="AB5" i="1"/>
  <c r="AC5" i="1"/>
  <c r="AD5" i="1"/>
  <c r="AE5" i="1"/>
  <c r="U4" i="1"/>
  <c r="V4" i="1"/>
  <c r="W4" i="1"/>
  <c r="X4" i="1"/>
  <c r="Y4" i="1"/>
  <c r="Z4" i="1"/>
  <c r="AA4" i="1"/>
  <c r="AB4" i="1"/>
  <c r="AC4" i="1"/>
  <c r="AD4" i="1"/>
  <c r="AE4" i="1"/>
  <c r="T4" i="1"/>
  <c r="T3" i="1"/>
  <c r="S32" i="1"/>
  <c r="S28" i="1"/>
  <c r="S29" i="1"/>
  <c r="S30" i="1"/>
  <c r="S31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4" i="1"/>
  <c r="S5" i="1"/>
  <c r="W3" i="1"/>
  <c r="AA3" i="1"/>
  <c r="AB3" i="1"/>
  <c r="AE3" i="1"/>
  <c r="B14" i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13" i="1"/>
  <c r="F6" i="1"/>
  <c r="U3" i="1" s="1"/>
  <c r="G6" i="1"/>
  <c r="G7" i="1" s="1"/>
  <c r="H6" i="1"/>
  <c r="I6" i="1"/>
  <c r="J6" i="1"/>
  <c r="Y3" i="1" s="1"/>
  <c r="K6" i="1"/>
  <c r="K7" i="1" s="1"/>
  <c r="L6" i="1"/>
  <c r="M6" i="1"/>
  <c r="N6" i="1"/>
  <c r="AC3" i="1" s="1"/>
  <c r="O6" i="1"/>
  <c r="O7" i="1" s="1"/>
  <c r="P6" i="1"/>
  <c r="E6" i="1"/>
  <c r="P3" i="1"/>
  <c r="O3" i="1"/>
  <c r="N3" i="1"/>
  <c r="M3" i="1"/>
  <c r="L3" i="1"/>
  <c r="K3" i="1"/>
  <c r="J3" i="1"/>
  <c r="I3" i="1"/>
  <c r="H3" i="1"/>
  <c r="G3" i="1"/>
  <c r="F3" i="1"/>
  <c r="E3" i="1"/>
  <c r="N7" i="1" l="1"/>
  <c r="AD3" i="1"/>
  <c r="Z3" i="1"/>
  <c r="V3" i="1"/>
  <c r="M7" i="1"/>
  <c r="M8" i="1" s="1"/>
  <c r="M9" i="1" s="1"/>
  <c r="M10" i="1" s="1"/>
  <c r="M11" i="1" s="1"/>
  <c r="J7" i="1"/>
  <c r="J8" i="1" s="1"/>
  <c r="J9" i="1" s="1"/>
  <c r="J10" i="1" s="1"/>
  <c r="J11" i="1" s="1"/>
  <c r="O8" i="1"/>
  <c r="O9" i="1" s="1"/>
  <c r="O10" i="1" s="1"/>
  <c r="O11" i="1" s="1"/>
  <c r="I7" i="1"/>
  <c r="N8" i="1"/>
  <c r="N9" i="1" s="1"/>
  <c r="N10" i="1" s="1"/>
  <c r="N11" i="1" s="1"/>
  <c r="K8" i="1"/>
  <c r="K9" i="1" s="1"/>
  <c r="K10" i="1" s="1"/>
  <c r="K11" i="1" s="1"/>
  <c r="F7" i="1"/>
  <c r="P7" i="1"/>
  <c r="L7" i="1"/>
  <c r="L8" i="1" s="1"/>
  <c r="L9" i="1" s="1"/>
  <c r="H7" i="1"/>
  <c r="H8" i="1" s="1"/>
  <c r="H9" i="1" s="1"/>
  <c r="G8" i="1"/>
  <c r="G9" i="1" s="1"/>
  <c r="G10" i="1" s="1"/>
  <c r="G11" i="1" s="1"/>
  <c r="E8" i="1"/>
  <c r="E9" i="1" s="1"/>
  <c r="E10" i="1" s="1"/>
  <c r="E11" i="1" l="1"/>
  <c r="H10" i="1"/>
  <c r="H11" i="1" s="1"/>
  <c r="F8" i="1"/>
  <c r="F9" i="1" s="1"/>
  <c r="F10" i="1" s="1"/>
  <c r="F11" i="1" s="1"/>
  <c r="L10" i="1"/>
  <c r="L11" i="1" s="1"/>
  <c r="I8" i="1"/>
  <c r="I9" i="1" s="1"/>
  <c r="I10" i="1" s="1"/>
  <c r="I11" i="1" s="1"/>
  <c r="P8" i="1"/>
  <c r="P9" i="1" s="1"/>
  <c r="P10" i="1" s="1"/>
  <c r="P11" i="1" s="1"/>
</calcChain>
</file>

<file path=xl/sharedStrings.xml><?xml version="1.0" encoding="utf-8"?>
<sst xmlns="http://schemas.openxmlformats.org/spreadsheetml/2006/main" count="55" uniqueCount="55">
  <si>
    <t>Given Data</t>
  </si>
  <si>
    <t>Latitude</t>
  </si>
  <si>
    <t>Longitude</t>
  </si>
  <si>
    <t>Place</t>
  </si>
  <si>
    <t>BMO (Alma, Quebec)</t>
  </si>
  <si>
    <t>Gsc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</si>
  <si>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</si>
  <si>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</si>
  <si>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</si>
  <si>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</si>
  <si>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</si>
  <si>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</si>
  <si>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</si>
  <si>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</si>
  <si>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</si>
  <si>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</si>
  <si>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</si>
  <si>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</si>
  <si>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</si>
  <si>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Hbar (kWh/m2)</t>
  </si>
  <si>
    <t>Hbar (MJ/m2)</t>
  </si>
  <si>
    <t>Pgbar</t>
  </si>
  <si>
    <t>Del</t>
  </si>
  <si>
    <t>nbar</t>
  </si>
  <si>
    <t>OmegaS</t>
  </si>
  <si>
    <t>HoBar (MJ/m2)</t>
  </si>
  <si>
    <t>KtBar</t>
  </si>
  <si>
    <t>HdBar/Hbar</t>
  </si>
  <si>
    <t>HdBar</t>
  </si>
  <si>
    <t>Beta</t>
  </si>
  <si>
    <t>OmegaSdash</t>
  </si>
  <si>
    <t>HTBar Max</t>
  </si>
  <si>
    <t>RTBar Max</t>
  </si>
  <si>
    <t>Beta Optimal</t>
  </si>
  <si>
    <t>Beta Average (Year)</t>
  </si>
  <si>
    <t>N(Daylight Hours)</t>
  </si>
  <si>
    <t>N (Possible)</t>
  </si>
  <si>
    <t>Time</t>
  </si>
  <si>
    <t>6-7 am</t>
  </si>
  <si>
    <t>7-8 am</t>
  </si>
  <si>
    <t>8-9 am</t>
  </si>
  <si>
    <t>9-10am</t>
  </si>
  <si>
    <t>10-11 am</t>
  </si>
  <si>
    <t>11-12 am</t>
  </si>
  <si>
    <t>12-1 pm</t>
  </si>
  <si>
    <t>1-2 pm</t>
  </si>
  <si>
    <t>2-3 pm</t>
  </si>
  <si>
    <t>3-4pm</t>
  </si>
  <si>
    <t>4-5pm</t>
  </si>
  <si>
    <t>5-6 pm</t>
  </si>
  <si>
    <t>ST (Solar Time)</t>
  </si>
  <si>
    <t>Omega</t>
  </si>
  <si>
    <t>rd</t>
  </si>
  <si>
    <t>a (constant)</t>
  </si>
  <si>
    <t>b (constant)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</si>
</sst>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466725</xdr:colOff>
      <xdr:row>7</xdr:row>
      <xdr:rowOff>185737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DB97ED4-045F-494E-B74B-4526FA8F7FAB}"/>
            </a:ext>
          </a:extLst>
        </xdr:cNvPr>
        <xdr:cNvSpPr txBox="1"/>
      </xdr:nvSpPr>
      <xdr:spPr>
        <a:xfrm>
          <a:off x="5819775" y="15192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3"/>
  <sheetViews>
    <sheetView tabSelected="1" topLeftCell="N76" zoomScaleNormal="100" workbookViewId="0">
      <selection activeCell="T82" sqref="T82"/>
    </sheetView>
  </sheetViews>
  <sheetFormatPr defaultRowHeight="15" x14ac:dyDescent="0.25"/>
  <cols>
    <col min="1" max="1" width="16.85546875" bestFit="1" customWidth="1"/>
    <col min="2" max="2" width="19.85546875" bestFit="1" customWidth="1"/>
    <col min="4" max="4" width="19" customWidth="1"/>
    <col min="5" max="7" width="12.7109375" bestFit="1" customWidth="1"/>
    <col min="8" max="9" width="12" bestFit="1" customWidth="1"/>
    <col min="18" max="19" width="12.42578125" bestFit="1" customWidth="1"/>
  </cols>
  <sheetData>
    <row r="1" spans="1:31" x14ac:dyDescent="0.25">
      <c r="A1" s="1" t="s">
        <v>0</v>
      </c>
      <c r="D1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</row>
    <row r="2" spans="1:31" x14ac:dyDescent="0.25">
      <c r="A2" t="s">
        <v>1</v>
      </c>
      <c r="B2">
        <v>48.55</v>
      </c>
      <c r="D2" t="s">
        <v>19</v>
      </c>
      <c r="E2" s="2">
        <v>1.44</v>
      </c>
      <c r="F2" s="2">
        <v>2.35</v>
      </c>
      <c r="G2" s="2">
        <v>3.57</v>
      </c>
      <c r="H2" s="2">
        <v>4.6500000000000004</v>
      </c>
      <c r="I2" s="2">
        <v>5.07</v>
      </c>
      <c r="J2" s="2">
        <v>5.46</v>
      </c>
      <c r="K2" s="2">
        <v>4.97</v>
      </c>
      <c r="L2" s="2">
        <v>4.46</v>
      </c>
      <c r="M2" s="2">
        <v>3.23</v>
      </c>
      <c r="N2" s="2">
        <v>1.95</v>
      </c>
      <c r="O2" s="2">
        <v>1.31</v>
      </c>
      <c r="P2" s="2">
        <v>1.1100000000000001</v>
      </c>
    </row>
    <row r="3" spans="1:31" x14ac:dyDescent="0.25">
      <c r="A3" t="s">
        <v>2</v>
      </c>
      <c r="B3">
        <v>71.650000000000006</v>
      </c>
      <c r="D3" t="s">
        <v>20</v>
      </c>
      <c r="E3" s="2">
        <f>PRODUCT(E2,3.6)</f>
        <v>5.1840000000000002</v>
      </c>
      <c r="F3" s="2">
        <f t="shared" ref="F3:P3" si="0">PRODUCT(F2,3.6)</f>
        <v>8.4600000000000009</v>
      </c>
      <c r="G3" s="2">
        <f t="shared" si="0"/>
        <v>12.852</v>
      </c>
      <c r="H3" s="2">
        <f t="shared" si="0"/>
        <v>16.740000000000002</v>
      </c>
      <c r="I3" s="2">
        <f t="shared" si="0"/>
        <v>18.252000000000002</v>
      </c>
      <c r="J3" s="2">
        <f t="shared" si="0"/>
        <v>19.655999999999999</v>
      </c>
      <c r="K3" s="2">
        <f t="shared" si="0"/>
        <v>17.891999999999999</v>
      </c>
      <c r="L3" s="2">
        <f t="shared" si="0"/>
        <v>16.056000000000001</v>
      </c>
      <c r="M3" s="2">
        <f t="shared" si="0"/>
        <v>11.628</v>
      </c>
      <c r="N3" s="2">
        <f t="shared" si="0"/>
        <v>7.02</v>
      </c>
      <c r="O3" s="2">
        <f t="shared" si="0"/>
        <v>4.7160000000000002</v>
      </c>
      <c r="P3" s="2">
        <f t="shared" si="0"/>
        <v>3.9960000000000004</v>
      </c>
      <c r="Q3" s="2"/>
      <c r="R3" s="3" t="s">
        <v>30</v>
      </c>
      <c r="S3" t="str">
        <f>$A$12&amp;TEXT(B12," - ")&amp;B12</f>
        <v>Beta - 3</v>
      </c>
      <c r="T3" s="2">
        <f t="shared" ref="T3:AE3" si="1">MIN(DEGREES(ACOS((-TAN($B2*PI()/180))*TAN(E6*PI()/180))),DEGREES(ACOS((-TAN(($B2-$B12)*PI()/180))*TAN(E6*PI()/180))))</f>
        <v>64.357071680080139</v>
      </c>
      <c r="U3" s="2">
        <f t="shared" si="1"/>
        <v>74.902424284262636</v>
      </c>
      <c r="V3" s="2">
        <f t="shared" si="1"/>
        <v>87.259767273219694</v>
      </c>
      <c r="W3" s="2">
        <f t="shared" si="1"/>
        <v>99.731448866021836</v>
      </c>
      <c r="X3" s="2">
        <f t="shared" si="1"/>
        <v>110.2957820462281</v>
      </c>
      <c r="Y3" s="2">
        <f t="shared" si="1"/>
        <v>115.75401920440625</v>
      </c>
      <c r="Z3" s="2">
        <f t="shared" si="1"/>
        <v>113.26970197246652</v>
      </c>
      <c r="AA3" s="2">
        <f t="shared" si="1"/>
        <v>104.11597332135989</v>
      </c>
      <c r="AB3" s="2">
        <f t="shared" si="1"/>
        <v>92.261577427598297</v>
      </c>
      <c r="AC3" s="2">
        <f t="shared" si="1"/>
        <v>78.959709277416707</v>
      </c>
      <c r="AD3" s="2">
        <f t="shared" si="1"/>
        <v>67.174154403625039</v>
      </c>
      <c r="AE3" s="2">
        <f t="shared" si="1"/>
        <v>61.198024919238009</v>
      </c>
    </row>
    <row r="4" spans="1:31" x14ac:dyDescent="0.25">
      <c r="A4" t="s">
        <v>3</v>
      </c>
      <c r="B4" t="s">
        <v>4</v>
      </c>
      <c r="D4" t="s">
        <v>21</v>
      </c>
      <c r="E4" s="2">
        <v>0.31</v>
      </c>
      <c r="F4" s="2">
        <v>0.28000000000000003</v>
      </c>
      <c r="G4" s="2">
        <v>0.3</v>
      </c>
      <c r="H4" s="2">
        <v>0.24</v>
      </c>
      <c r="I4" s="2">
        <v>0.09</v>
      </c>
      <c r="J4" s="2">
        <v>0.1</v>
      </c>
      <c r="K4" s="2">
        <v>0.1</v>
      </c>
      <c r="L4" s="2">
        <v>0.09</v>
      </c>
      <c r="M4" s="2">
        <v>0.1</v>
      </c>
      <c r="N4" s="2">
        <v>0.09</v>
      </c>
      <c r="O4" s="2">
        <v>0.21</v>
      </c>
      <c r="P4" s="2">
        <v>0.28000000000000003</v>
      </c>
      <c r="Q4" s="2"/>
      <c r="R4" s="3"/>
      <c r="S4" t="str">
        <f t="shared" ref="S4:S31" si="2">$A$12&amp;TEXT(B13," - ")&amp;B13</f>
        <v>Beta - 6</v>
      </c>
      <c r="T4" s="2">
        <f>MIN(DEGREES(ACOS((-TAN($B2*PI()/180))*TAN(E6*PI()/180))),DEGREES(ACOS((-TAN(($B2-$B13)*PI()/180))*TAN(E6*PI()/180))))</f>
        <v>64.357071680080139</v>
      </c>
      <c r="U4" s="2">
        <f t="shared" ref="U4:AE4" si="3">MIN(DEGREES(ACOS((-TAN($B2*PI()/180))*TAN(F6*PI()/180))),DEGREES(ACOS((-TAN(($B2-$B13)*PI()/180))*TAN(F6*PI()/180))))</f>
        <v>74.902424284262636</v>
      </c>
      <c r="V4" s="2">
        <f t="shared" si="3"/>
        <v>87.259767273219694</v>
      </c>
      <c r="W4" s="2">
        <f t="shared" si="3"/>
        <v>98.754950664937468</v>
      </c>
      <c r="X4" s="2">
        <f t="shared" si="3"/>
        <v>108.20073172054356</v>
      </c>
      <c r="Y4" s="2">
        <f t="shared" si="3"/>
        <v>113.03335399243038</v>
      </c>
      <c r="Z4" s="2">
        <f t="shared" si="3"/>
        <v>110.83905653072456</v>
      </c>
      <c r="AA4" s="2">
        <f t="shared" si="3"/>
        <v>102.6863826040525</v>
      </c>
      <c r="AB4" s="2">
        <f t="shared" si="3"/>
        <v>92.036409146937018</v>
      </c>
      <c r="AC4" s="2">
        <f t="shared" si="3"/>
        <v>78.959709277416707</v>
      </c>
      <c r="AD4" s="2">
        <f t="shared" si="3"/>
        <v>67.174154403625039</v>
      </c>
      <c r="AE4" s="2">
        <f t="shared" si="3"/>
        <v>61.198024919238009</v>
      </c>
    </row>
    <row r="5" spans="1:31" x14ac:dyDescent="0.25">
      <c r="A5" t="s">
        <v>5</v>
      </c>
      <c r="B5">
        <v>1367</v>
      </c>
      <c r="D5" t="s">
        <v>23</v>
      </c>
      <c r="E5" s="2">
        <v>17</v>
      </c>
      <c r="F5" s="2">
        <v>47</v>
      </c>
      <c r="G5" s="2">
        <v>75</v>
      </c>
      <c r="H5" s="2">
        <v>105</v>
      </c>
      <c r="I5" s="2">
        <v>135</v>
      </c>
      <c r="J5" s="2">
        <v>162</v>
      </c>
      <c r="K5" s="2">
        <v>198</v>
      </c>
      <c r="L5" s="2">
        <v>228</v>
      </c>
      <c r="M5" s="2">
        <v>258</v>
      </c>
      <c r="N5" s="2">
        <v>288</v>
      </c>
      <c r="O5" s="2">
        <v>318</v>
      </c>
      <c r="P5" s="2">
        <v>344</v>
      </c>
      <c r="Q5" s="2"/>
      <c r="R5" s="3"/>
      <c r="S5" t="str">
        <f t="shared" si="2"/>
        <v>Beta - 9</v>
      </c>
      <c r="T5" s="2">
        <f>MIN(DEGREES(ACOS((-TAN($B2*PI()/180))*TAN(E6*PI()/180))),DEGREES(ACOS((-TAN(($B2-$B14)*PI()/180))*TAN(E6*PI()/180))))</f>
        <v>64.357071680080139</v>
      </c>
      <c r="U5" s="2">
        <f t="shared" ref="U5:AE5" si="4">MIN(DEGREES(ACOS((-TAN($B2*PI()/180))*TAN(F6*PI()/180))),DEGREES(ACOS((-TAN(($B2-$B14)*PI()/180))*TAN(F6*PI()/180))))</f>
        <v>74.902424284262636</v>
      </c>
      <c r="V5" s="2">
        <f t="shared" si="4"/>
        <v>87.259767273219694</v>
      </c>
      <c r="W5" s="2">
        <f t="shared" si="4"/>
        <v>97.870316411566947</v>
      </c>
      <c r="X5" s="2">
        <f t="shared" si="4"/>
        <v>106.31967733904173</v>
      </c>
      <c r="Y5" s="2">
        <f t="shared" si="4"/>
        <v>110.60938024461319</v>
      </c>
      <c r="Z5" s="2">
        <f t="shared" si="4"/>
        <v>108.66519655058102</v>
      </c>
      <c r="AA5" s="2">
        <f t="shared" si="4"/>
        <v>101.39497300977997</v>
      </c>
      <c r="AB5" s="2">
        <f t="shared" si="4"/>
        <v>91.831938225019329</v>
      </c>
      <c r="AC5" s="2">
        <f t="shared" si="4"/>
        <v>78.959709277416707</v>
      </c>
      <c r="AD5" s="2">
        <f t="shared" si="4"/>
        <v>67.174154403625039</v>
      </c>
      <c r="AE5" s="2">
        <f t="shared" si="4"/>
        <v>61.198024919238009</v>
      </c>
    </row>
    <row r="6" spans="1:31" x14ac:dyDescent="0.25">
      <c r="D6" t="s">
        <v>22</v>
      </c>
      <c r="E6" s="2">
        <f>(23.45*SIN(360*((284+E5)/365)*PI()/180))</f>
        <v>-20.916962574476411</v>
      </c>
      <c r="F6" s="2">
        <f t="shared" ref="F6:P6" si="5">(23.45*SIN(360*((284+F5)/365)*PI()/180))</f>
        <v>-12.954608093780678</v>
      </c>
      <c r="G6" s="2">
        <f t="shared" si="5"/>
        <v>-2.4177348051423402</v>
      </c>
      <c r="H6" s="2">
        <f t="shared" si="5"/>
        <v>9.4148933468800724</v>
      </c>
      <c r="I6" s="2">
        <f t="shared" si="5"/>
        <v>18.791917517696167</v>
      </c>
      <c r="J6" s="2">
        <f t="shared" si="5"/>
        <v>23.085911002836561</v>
      </c>
      <c r="K6" s="2">
        <f t="shared" si="5"/>
        <v>21.18369356451386</v>
      </c>
      <c r="L6" s="2">
        <f t="shared" si="5"/>
        <v>13.454959682356431</v>
      </c>
      <c r="M6" s="2">
        <f t="shared" si="5"/>
        <v>2.2168867832133459</v>
      </c>
      <c r="N6" s="2">
        <f t="shared" si="5"/>
        <v>-9.5993972342263376</v>
      </c>
      <c r="O6" s="2">
        <f t="shared" si="5"/>
        <v>-18.911954741226161</v>
      </c>
      <c r="P6" s="2">
        <f t="shared" si="5"/>
        <v>-23.049627643930577</v>
      </c>
      <c r="Q6" s="2"/>
      <c r="R6" s="3"/>
      <c r="S6" t="str">
        <f t="shared" si="2"/>
        <v>Beta - 12</v>
      </c>
      <c r="T6" s="2">
        <f>MIN(DEGREES(ACOS((-TAN($B2*PI()/180))*TAN(E6*PI()/180))),DEGREES(ACOS((-TAN(($B2-$B15)*PI()/180))*TAN(E6*PI()/180))))</f>
        <v>64.357071680080139</v>
      </c>
      <c r="U6" s="2">
        <f t="shared" ref="U6:AE6" si="6">MIN(DEGREES(ACOS((-TAN($B2*PI()/180))*TAN(F6*PI()/180))),DEGREES(ACOS((-TAN(($B2-$B15)*PI()/180))*TAN(F6*PI()/180))))</f>
        <v>74.902424284262636</v>
      </c>
      <c r="V6" s="2">
        <f t="shared" si="6"/>
        <v>87.259767273219694</v>
      </c>
      <c r="W6" s="2">
        <f t="shared" si="6"/>
        <v>97.060738648755532</v>
      </c>
      <c r="X6" s="2">
        <f t="shared" si="6"/>
        <v>104.61049727971483</v>
      </c>
      <c r="Y6" s="2">
        <f t="shared" si="6"/>
        <v>108.42005317904264</v>
      </c>
      <c r="Z6" s="2">
        <f t="shared" si="6"/>
        <v>106.69598805445324</v>
      </c>
      <c r="AA6" s="2">
        <f t="shared" si="6"/>
        <v>100.21585895280596</v>
      </c>
      <c r="AB6" s="2">
        <f t="shared" si="6"/>
        <v>91.644452085788416</v>
      </c>
      <c r="AC6" s="2">
        <f t="shared" si="6"/>
        <v>78.959709277416707</v>
      </c>
      <c r="AD6" s="2">
        <f t="shared" si="6"/>
        <v>67.174154403625039</v>
      </c>
      <c r="AE6" s="2">
        <f t="shared" si="6"/>
        <v>61.198024919238009</v>
      </c>
    </row>
    <row r="7" spans="1:31" x14ac:dyDescent="0.25">
      <c r="D7" t="s">
        <v>24</v>
      </c>
      <c r="E7" s="2">
        <f>DEGREES(ACOS((-TAN($B2*PI()/180))*TAN(E6*PI()/180)))</f>
        <v>64.357071680080139</v>
      </c>
      <c r="F7" s="2">
        <f>DEGREES(ACOS((-TAN($B2*PI()/180))*TAN(F6*PI()/180)))</f>
        <v>74.902424284262636</v>
      </c>
      <c r="G7" s="2">
        <f>DEGREES(ACOS((-TAN($B2*PI()/180))*TAN(G6*PI()/180)))</f>
        <v>87.259767273219694</v>
      </c>
      <c r="H7" s="2">
        <f t="shared" ref="H7:P7" si="7">DEGREES(ACOS((-TAN($B2*PI()/180))*TAN(H6*PI()/180)))</f>
        <v>100.82155171216846</v>
      </c>
      <c r="I7" s="2">
        <f t="shared" si="7"/>
        <v>112.66128879051159</v>
      </c>
      <c r="J7" s="2">
        <f t="shared" si="7"/>
        <v>118.85737576285086</v>
      </c>
      <c r="K7" s="2">
        <f t="shared" si="7"/>
        <v>116.02818895494727</v>
      </c>
      <c r="L7" s="2">
        <f t="shared" si="7"/>
        <v>105.71759683820065</v>
      </c>
      <c r="M7" s="2">
        <f t="shared" si="7"/>
        <v>92.512203454174994</v>
      </c>
      <c r="N7" s="2">
        <f t="shared" si="7"/>
        <v>78.959709277416707</v>
      </c>
      <c r="O7" s="2">
        <f t="shared" si="7"/>
        <v>67.174154403625039</v>
      </c>
      <c r="P7" s="2">
        <f t="shared" si="7"/>
        <v>61.198024919238009</v>
      </c>
      <c r="Q7" s="2"/>
      <c r="R7" s="3"/>
      <c r="S7" t="str">
        <f t="shared" si="2"/>
        <v>Beta - 15</v>
      </c>
      <c r="T7" s="2">
        <f>MIN(DEGREES(ACOS((-TAN($B2*PI()/180))*TAN(E6*PI()/180))),DEGREES(ACOS((-TAN(($B2-$B16)*PI()/180))*TAN(E6*PI()/180))))</f>
        <v>64.357071680080139</v>
      </c>
      <c r="U7" s="2">
        <f t="shared" ref="U7:AE7" si="8">MIN(DEGREES(ACOS((-TAN($B2*PI()/180))*TAN(F6*PI()/180))),DEGREES(ACOS((-TAN(($B2-$B16)*PI()/180))*TAN(F6*PI()/180))))</f>
        <v>74.902424284262636</v>
      </c>
      <c r="V7" s="2">
        <f t="shared" si="8"/>
        <v>87.259767273219694</v>
      </c>
      <c r="W7" s="2">
        <f t="shared" si="8"/>
        <v>96.312976948708936</v>
      </c>
      <c r="X7" s="2">
        <f t="shared" si="8"/>
        <v>103.04094559831894</v>
      </c>
      <c r="Y7" s="2">
        <f t="shared" si="8"/>
        <v>106.41908614913395</v>
      </c>
      <c r="Z7" s="2">
        <f t="shared" si="8"/>
        <v>104.89203458390675</v>
      </c>
      <c r="AA7" s="2">
        <f t="shared" si="8"/>
        <v>99.128829944749938</v>
      </c>
      <c r="AB7" s="2">
        <f t="shared" si="8"/>
        <v>91.471004747088529</v>
      </c>
      <c r="AC7" s="2">
        <f t="shared" si="8"/>
        <v>78.959709277416707</v>
      </c>
      <c r="AD7" s="2">
        <f t="shared" si="8"/>
        <v>67.174154403625039</v>
      </c>
      <c r="AE7" s="2">
        <f t="shared" si="8"/>
        <v>61.198024919238009</v>
      </c>
    </row>
    <row r="8" spans="1:31" x14ac:dyDescent="0.25">
      <c r="D8" t="s">
        <v>25</v>
      </c>
      <c r="E8" s="2">
        <f>(24*3600*1367*(1 + (0.033*COS((360*E5*PI())/(365*180))))*((COS($B2*PI()/180)*COS(E6*PI()/180)*SIN(E7*PI()/180))+((PI()*E7/180)*SIN($B2*PI()/180)*SIN(E6*PI()/180))))/(PI()*1000000)</f>
        <v>9.9620947801884139</v>
      </c>
      <c r="F8" s="2">
        <f t="shared" ref="F8:P8" si="9">(24*3600*1367*(1 + (0.033*COS((360*F5*PI())/(365*180))))*((COS($B2*PI()/180)*COS(F6*PI()/180)*SIN(F7*PI()/180))+((PI()*F7/180)*SIN($B2*PI()/180)*SIN(F6*PI()/180))))/(PI()*1000000)</f>
        <v>15.503106115675998</v>
      </c>
      <c r="G8" s="2">
        <f t="shared" si="9"/>
        <v>23.235568728641997</v>
      </c>
      <c r="H8" s="2">
        <f t="shared" si="9"/>
        <v>31.976845538241953</v>
      </c>
      <c r="I8" s="2">
        <f t="shared" si="9"/>
        <v>38.696583913707329</v>
      </c>
      <c r="J8" s="2">
        <f t="shared" si="9"/>
        <v>41.641344197528916</v>
      </c>
      <c r="K8" s="2">
        <f t="shared" si="9"/>
        <v>40.152122576096495</v>
      </c>
      <c r="L8" s="2">
        <f t="shared" si="9"/>
        <v>34.568811619852539</v>
      </c>
      <c r="M8" s="2">
        <f t="shared" si="9"/>
        <v>26.369098705471654</v>
      </c>
      <c r="N8" s="2">
        <f t="shared" si="9"/>
        <v>17.749449808312985</v>
      </c>
      <c r="O8" s="2">
        <f t="shared" si="9"/>
        <v>11.242092877351924</v>
      </c>
      <c r="P8" s="2">
        <f t="shared" si="9"/>
        <v>8.5384218428827356</v>
      </c>
      <c r="Q8" s="2"/>
      <c r="R8" s="3"/>
      <c r="S8" t="str">
        <f t="shared" si="2"/>
        <v>Beta - 18</v>
      </c>
      <c r="T8" s="2">
        <f>MIN(DEGREES(ACOS((-TAN($B2*PI()/180))*TAN(E6*PI()/180))),DEGREES(ACOS((-TAN(($B2-$B17)*PI()/180))*TAN(E6*PI()/180))))</f>
        <v>64.357071680080139</v>
      </c>
      <c r="U8" s="2">
        <f t="shared" ref="U8:AE8" si="10">MIN(DEGREES(ACOS((-TAN($B2*PI()/180))*TAN(F6*PI()/180))),DEGREES(ACOS((-TAN(($B2-$B17)*PI()/180))*TAN(F6*PI()/180))))</f>
        <v>74.902424284262636</v>
      </c>
      <c r="V8" s="2">
        <f t="shared" si="10"/>
        <v>87.259767273219694</v>
      </c>
      <c r="W8" s="2">
        <f t="shared" si="10"/>
        <v>95.616419258054222</v>
      </c>
      <c r="X8" s="2">
        <f t="shared" si="10"/>
        <v>101.58577657832134</v>
      </c>
      <c r="Y8" s="2">
        <f t="shared" si="10"/>
        <v>104.57097499939211</v>
      </c>
      <c r="Z8" s="2">
        <f t="shared" si="10"/>
        <v>103.22280986544685</v>
      </c>
      <c r="AA8" s="2">
        <f t="shared" si="10"/>
        <v>98.11780727665527</v>
      </c>
      <c r="AB8" s="2">
        <f t="shared" si="10"/>
        <v>91.309220574148654</v>
      </c>
      <c r="AC8" s="2">
        <f t="shared" si="10"/>
        <v>78.959709277416707</v>
      </c>
      <c r="AD8" s="2">
        <f t="shared" si="10"/>
        <v>67.174154403625039</v>
      </c>
      <c r="AE8" s="2">
        <f t="shared" si="10"/>
        <v>61.198024919238009</v>
      </c>
    </row>
    <row r="9" spans="1:31" x14ac:dyDescent="0.25">
      <c r="D9" t="s">
        <v>26</v>
      </c>
      <c r="E9" s="2">
        <f>E3/E8</f>
        <v>0.52037248333647701</v>
      </c>
      <c r="F9" s="2">
        <f t="shared" ref="F9:P9" si="11">F3/F8</f>
        <v>0.54569709688342094</v>
      </c>
      <c r="G9" s="2">
        <f t="shared" si="11"/>
        <v>0.55311751350237492</v>
      </c>
      <c r="H9" s="2">
        <f t="shared" si="11"/>
        <v>0.52350379526899216</v>
      </c>
      <c r="I9" s="2">
        <f t="shared" si="11"/>
        <v>0.4716695417017075</v>
      </c>
      <c r="J9" s="2">
        <f t="shared" si="11"/>
        <v>0.47203087169233182</v>
      </c>
      <c r="K9" s="2">
        <f t="shared" si="11"/>
        <v>0.44560533421591836</v>
      </c>
      <c r="L9" s="2">
        <f t="shared" si="11"/>
        <v>0.46446491064156781</v>
      </c>
      <c r="M9" s="2">
        <f t="shared" si="11"/>
        <v>0.44097070324163795</v>
      </c>
      <c r="N9" s="2">
        <f t="shared" si="11"/>
        <v>0.3955052171088802</v>
      </c>
      <c r="O9" s="2">
        <f t="shared" si="11"/>
        <v>0.41949484419406918</v>
      </c>
      <c r="P9" s="2">
        <f t="shared" si="11"/>
        <v>0.468002175756975</v>
      </c>
      <c r="Q9" s="2"/>
      <c r="R9" s="3"/>
      <c r="S9" t="str">
        <f t="shared" si="2"/>
        <v>Beta - 21</v>
      </c>
      <c r="T9" s="2">
        <f>MIN(DEGREES(ACOS((-TAN($B2*PI()/180))*TAN(E6*PI()/180))),DEGREES(ACOS((-TAN(($B2-$B18)*PI()/180))*TAN(E6*PI()/180))))</f>
        <v>64.357071680080139</v>
      </c>
      <c r="U9" s="2">
        <f t="shared" ref="U9:AE9" si="12">MIN(DEGREES(ACOS((-TAN($B2*PI()/180))*TAN(F6*PI()/180))),DEGREES(ACOS((-TAN(($B2-$B18)*PI()/180))*TAN(F6*PI()/180))))</f>
        <v>74.902424284262636</v>
      </c>
      <c r="V9" s="2">
        <f t="shared" si="12"/>
        <v>87.259767273219694</v>
      </c>
      <c r="W9" s="2">
        <f t="shared" si="12"/>
        <v>94.962421088761076</v>
      </c>
      <c r="X9" s="2">
        <f t="shared" si="12"/>
        <v>100.2248230524968</v>
      </c>
      <c r="Y9" s="2">
        <f t="shared" si="12"/>
        <v>102.84782422612862</v>
      </c>
      <c r="Z9" s="2">
        <f t="shared" si="12"/>
        <v>101.66413330972712</v>
      </c>
      <c r="AA9" s="2">
        <f t="shared" si="12"/>
        <v>97.169774965355515</v>
      </c>
      <c r="AB9" s="2">
        <f t="shared" si="12"/>
        <v>91.157154315520913</v>
      </c>
      <c r="AC9" s="2">
        <f t="shared" si="12"/>
        <v>78.959709277416707</v>
      </c>
      <c r="AD9" s="2">
        <f t="shared" si="12"/>
        <v>67.174154403625039</v>
      </c>
      <c r="AE9" s="2">
        <f t="shared" si="12"/>
        <v>61.198024919238009</v>
      </c>
    </row>
    <row r="10" spans="1:31" x14ac:dyDescent="0.25">
      <c r="D10" t="s">
        <v>27</v>
      </c>
      <c r="E10" s="2">
        <f>IF(E7&lt;= 81.4,(1.391 - (3.56*E9) + (4.189*E9*E9) - (2.137*E9*E9*E9)),(1.311 - (3.022*E9) + (3.427*E9*E9) - (1.821*E9*E9*E9)))</f>
        <v>0.37167741520368297</v>
      </c>
      <c r="F10" s="2">
        <f t="shared" ref="F10:P10" si="13">IF(F7&lt;= 81.4,(1.391 - (3.56*F9) + (4.189*F9*F9) - (2.137*F9*F9*F9)),(1.311 - (3.022*F9) + (3.427*F9*F9) - (1.821*F9*F9*F9)))</f>
        <v>0.34847729592160848</v>
      </c>
      <c r="G10" s="2">
        <f t="shared" si="13"/>
        <v>0.37978176912533707</v>
      </c>
      <c r="H10" s="2">
        <f t="shared" si="13"/>
        <v>0.40690429847965465</v>
      </c>
      <c r="I10" s="2">
        <f t="shared" si="13"/>
        <v>0.45694311316239733</v>
      </c>
      <c r="J10" s="2">
        <f t="shared" si="13"/>
        <v>0.45658025280829262</v>
      </c>
      <c r="K10" s="2">
        <f t="shared" si="13"/>
        <v>0.48373558148393192</v>
      </c>
      <c r="L10" s="2">
        <f t="shared" si="13"/>
        <v>0.46422528587407319</v>
      </c>
      <c r="M10" s="2">
        <f t="shared" si="13"/>
        <v>0.48863538987664923</v>
      </c>
      <c r="N10" s="2">
        <f t="shared" si="13"/>
        <v>0.5060540951364545</v>
      </c>
      <c r="O10" s="2">
        <f t="shared" si="13"/>
        <v>0.47700603965372224</v>
      </c>
      <c r="P10" s="2">
        <f t="shared" si="13"/>
        <v>0.42335985934387688</v>
      </c>
      <c r="Q10" s="2"/>
      <c r="R10" s="3"/>
      <c r="S10" t="str">
        <f t="shared" si="2"/>
        <v>Beta - 24</v>
      </c>
      <c r="T10" s="2">
        <f>MIN(DEGREES(ACOS((-TAN($B2*PI()/180))*TAN(E6*PI()/180))),DEGREES(ACOS((-TAN(($B2-$B19)*PI()/180))*TAN(E6*PI()/180))))</f>
        <v>64.357071680080139</v>
      </c>
      <c r="U10" s="2">
        <f t="shared" ref="U10:AE10" si="14">MIN(DEGREES(ACOS((-TAN($B2*PI()/180))*TAN(F6*PI()/180))),DEGREES(ACOS((-TAN(($B2-$B19)*PI()/180))*TAN(F6*PI()/180))))</f>
        <v>74.902424284262636</v>
      </c>
      <c r="V10" s="2">
        <f>MIN(DEGREES(ACOS((-TAN($B2*PI()/180))*TAN(G6*PI()/180))),DEGREES(ACOS((-TAN(($B2-$B19)*PI()/180))*TAN(G6*PI()/180))))</f>
        <v>87.259767273219694</v>
      </c>
      <c r="W10" s="2">
        <f t="shared" si="14"/>
        <v>94.343829962078701</v>
      </c>
      <c r="X10" s="2">
        <f t="shared" si="14"/>
        <v>98.941671501759473</v>
      </c>
      <c r="Y10" s="2">
        <f t="shared" si="14"/>
        <v>101.22723898492886</v>
      </c>
      <c r="Z10" s="2">
        <f t="shared" si="14"/>
        <v>100.19646216140818</v>
      </c>
      <c r="AA10" s="2">
        <f t="shared" si="14"/>
        <v>96.274020717925566</v>
      </c>
      <c r="AB10" s="2">
        <f t="shared" si="14"/>
        <v>91.013189264333121</v>
      </c>
      <c r="AC10" s="2">
        <f t="shared" si="14"/>
        <v>78.959709277416707</v>
      </c>
      <c r="AD10" s="2">
        <f t="shared" si="14"/>
        <v>67.174154403625039</v>
      </c>
      <c r="AE10" s="2">
        <f t="shared" si="14"/>
        <v>61.198024919238009</v>
      </c>
    </row>
    <row r="11" spans="1:31" x14ac:dyDescent="0.25">
      <c r="D11" t="s">
        <v>28</v>
      </c>
      <c r="E11" s="2">
        <f xml:space="preserve"> E10*E3</f>
        <v>1.9267757204158926</v>
      </c>
      <c r="F11" s="2">
        <f t="shared" ref="F11:P11" si="15" xml:space="preserve"> F10*F3</f>
        <v>2.9481179234968078</v>
      </c>
      <c r="G11" s="2">
        <f t="shared" si="15"/>
        <v>4.8809552967988319</v>
      </c>
      <c r="H11" s="2">
        <f t="shared" si="15"/>
        <v>6.8115779565494199</v>
      </c>
      <c r="I11" s="2">
        <f t="shared" si="15"/>
        <v>8.340125701440078</v>
      </c>
      <c r="J11" s="2">
        <f t="shared" si="15"/>
        <v>8.9745414491997995</v>
      </c>
      <c r="K11" s="2">
        <f t="shared" si="15"/>
        <v>8.654997023910509</v>
      </c>
      <c r="L11" s="2">
        <f t="shared" si="15"/>
        <v>7.4536011899941199</v>
      </c>
      <c r="M11" s="2">
        <f t="shared" si="15"/>
        <v>5.6818523134856775</v>
      </c>
      <c r="N11" s="2">
        <f t="shared" si="15"/>
        <v>3.5524997478579103</v>
      </c>
      <c r="O11" s="2">
        <f t="shared" si="15"/>
        <v>2.2495604830069542</v>
      </c>
      <c r="P11" s="2">
        <f t="shared" si="15"/>
        <v>1.6917459979381322</v>
      </c>
      <c r="Q11" s="2"/>
      <c r="R11" s="3"/>
      <c r="S11" t="str">
        <f t="shared" si="2"/>
        <v>Beta - 27</v>
      </c>
      <c r="T11" s="2">
        <f>MIN(DEGREES(ACOS((-TAN($B2*PI()/180))*TAN(E6*PI()/180))),DEGREES(ACOS((-TAN(($B2-$B20)*PI()/180))*TAN(E6*PI()/180))))</f>
        <v>64.357071680080139</v>
      </c>
      <c r="U11" s="2">
        <f t="shared" ref="U11:AE11" si="16">MIN(DEGREES(ACOS((-TAN($B2*PI()/180))*TAN(F6*PI()/180))),DEGREES(ACOS((-TAN(($B2-$B20)*PI()/180))*TAN(F6*PI()/180))))</f>
        <v>74.902424284262636</v>
      </c>
      <c r="V11" s="2">
        <f t="shared" si="16"/>
        <v>87.259767273219694</v>
      </c>
      <c r="W11" s="2">
        <f t="shared" si="16"/>
        <v>93.754636122659491</v>
      </c>
      <c r="X11" s="2">
        <f t="shared" si="16"/>
        <v>97.722723296099659</v>
      </c>
      <c r="Y11" s="2">
        <f t="shared" si="16"/>
        <v>99.690876420736046</v>
      </c>
      <c r="Z11" s="2">
        <f t="shared" si="16"/>
        <v>98.803700103507381</v>
      </c>
      <c r="AA11" s="2">
        <f t="shared" si="16"/>
        <v>95.421584775093407</v>
      </c>
      <c r="AB11" s="2">
        <f t="shared" si="16"/>
        <v>90.875961752908395</v>
      </c>
      <c r="AC11" s="2">
        <f t="shared" si="16"/>
        <v>78.959709277416707</v>
      </c>
      <c r="AD11" s="2">
        <f t="shared" si="16"/>
        <v>67.174154403625039</v>
      </c>
      <c r="AE11" s="2">
        <f t="shared" si="16"/>
        <v>61.198024919238009</v>
      </c>
    </row>
    <row r="12" spans="1:31" x14ac:dyDescent="0.25">
      <c r="A12" s="3" t="s">
        <v>29</v>
      </c>
      <c r="B12">
        <v>3</v>
      </c>
      <c r="D12" t="str">
        <f>"RbBar at Beta = "&amp;B12</f>
        <v>RbBar at Beta = 3</v>
      </c>
      <c r="E12" s="2">
        <f>(((COS(($B2-$B12)*PI()/180)*COS(E6*PI()/180)*SIN(T3*PI()/180))+((PI()/180)*T3*SIN(($B2-$B12)*PI()/180)*SIN(E6*PI()/180)))/((COS($B2*PI()/180)*COS(E6*PI()/180)*SIN(E7*PI()/180))+((PI()/180)*E7*SIN($B2*PI()/180)*SIN(E6*PI()/180))))</f>
        <v>1.181317266381902</v>
      </c>
      <c r="F12" s="2">
        <f t="shared" ref="F12:P12" si="17">(((COS(($B2-$B12)*PI()/180)*COS(F6*PI()/180)*SIN(U3*PI()/180))+((PI()/180)*U3*SIN(($B2-$B12)*PI()/180)*SIN(F6*PI()/180)))/((COS($B2*PI()/180)*COS(F6*PI()/180)*SIN(F7*PI()/180))+((PI()/180)*F7*SIN($B2*PI()/180)*SIN(F6*PI()/180))))</f>
        <v>1.115356775113395</v>
      </c>
      <c r="G12" s="2">
        <f t="shared" si="17"/>
        <v>1.0661820646354163</v>
      </c>
      <c r="H12" s="2">
        <f t="shared" si="17"/>
        <v>1.0314829069694034</v>
      </c>
      <c r="I12" s="2">
        <f t="shared" si="17"/>
        <v>1.0108342913962252</v>
      </c>
      <c r="J12" s="2">
        <f t="shared" si="17"/>
        <v>1.002363584329959</v>
      </c>
      <c r="K12" s="2">
        <f t="shared" si="17"/>
        <v>1.0060676522647301</v>
      </c>
      <c r="L12" s="2">
        <f t="shared" si="17"/>
        <v>1.0221107999076677</v>
      </c>
      <c r="M12" s="2">
        <f t="shared" si="17"/>
        <v>1.0509200822635734</v>
      </c>
      <c r="N12" s="2">
        <f t="shared" si="17"/>
        <v>1.0966813029493372</v>
      </c>
      <c r="O12" s="2">
        <f t="shared" si="17"/>
        <v>1.1606449870063582</v>
      </c>
      <c r="P12" s="2">
        <f t="shared" si="17"/>
        <v>1.2079607195365303</v>
      </c>
      <c r="Q12" s="2"/>
      <c r="R12" s="3"/>
      <c r="S12" t="str">
        <f t="shared" si="2"/>
        <v>Beta - 30</v>
      </c>
      <c r="T12" s="2">
        <f>MIN(DEGREES(ACOS((-TAN($B2*PI()/180))*TAN(E6*PI()/180))),DEGREES(ACOS((-TAN(($B2-$B21)*PI()/180))*TAN(E6*PI()/180))))</f>
        <v>64.357071680080139</v>
      </c>
      <c r="U12" s="2">
        <f t="shared" ref="U12:AE12" si="18">MIN(DEGREES(ACOS((-TAN($B2*PI()/180))*TAN(F6*PI()/180))),DEGREES(ACOS((-TAN(($B2-$B21)*PI()/180))*TAN(F6*PI()/180))))</f>
        <v>74.902424284262636</v>
      </c>
      <c r="V12" s="2">
        <f t="shared" si="18"/>
        <v>87.259767273219694</v>
      </c>
      <c r="W12" s="2">
        <f t="shared" si="18"/>
        <v>93.18971094426449</v>
      </c>
      <c r="X12" s="2">
        <f t="shared" si="18"/>
        <v>96.556512803493092</v>
      </c>
      <c r="Y12" s="2">
        <f t="shared" si="18"/>
        <v>98.223419859128796</v>
      </c>
      <c r="Z12" s="2">
        <f t="shared" si="18"/>
        <v>97.472343067368584</v>
      </c>
      <c r="AA12" s="2">
        <f t="shared" si="18"/>
        <v>94.604851162728892</v>
      </c>
      <c r="AB12" s="2">
        <f t="shared" si="18"/>
        <v>90.744304140585854</v>
      </c>
      <c r="AC12" s="2">
        <f t="shared" si="18"/>
        <v>78.959709277416707</v>
      </c>
      <c r="AD12" s="2">
        <f t="shared" si="18"/>
        <v>67.174154403625039</v>
      </c>
      <c r="AE12" s="2">
        <f t="shared" si="18"/>
        <v>61.198024919238009</v>
      </c>
    </row>
    <row r="13" spans="1:31" x14ac:dyDescent="0.25">
      <c r="A13" s="4"/>
      <c r="B13">
        <f>B12+3</f>
        <v>6</v>
      </c>
      <c r="D13" t="str">
        <f t="shared" ref="D13:D41" si="19">"RbBar at Beta = "&amp;B13</f>
        <v>RbBar at Beta = 6</v>
      </c>
      <c r="E13" s="2">
        <f>(((COS(($B2-$B13)*PI()/180)*COS(E6*PI()/180)*SIN(T4*PI()/180))+((PI()/180)*T4*SIN(($B2-$B13)*PI()/180)*SIN(E6*PI()/180)))/((COS($B2*PI()/180)*COS(E6*PI()/180)*SIN(E7*PI()/180))+((PI()/180)*E7*SIN($B2*PI()/180)*SIN(E6*PI()/180))))</f>
        <v>1.3593966242490079</v>
      </c>
      <c r="F13" s="2">
        <f t="shared" ref="F13:P13" si="20">(((COS(($B2-$B13)*PI()/180)*COS(F6*PI()/180)*SIN(U4*PI()/180))+((PI()/180)*U4*SIN(($B2-$B13)*PI()/180)*SIN(F6*PI()/180)))/((COS($B2*PI()/180)*COS(F6*PI()/180)*SIN(F7*PI()/180))+((PI()/180)*F7*SIN($B2*PI()/180)*SIN(F6*PI()/180))))</f>
        <v>1.2276564348337033</v>
      </c>
      <c r="G13" s="2">
        <f t="shared" si="20"/>
        <v>1.1294417983410741</v>
      </c>
      <c r="H13" s="2">
        <f t="shared" si="20"/>
        <v>1.0603957792569036</v>
      </c>
      <c r="I13" s="2">
        <f t="shared" si="20"/>
        <v>1.0197874667485824</v>
      </c>
      <c r="J13" s="2">
        <f t="shared" si="20"/>
        <v>1.0032817255252031</v>
      </c>
      <c r="K13" s="2">
        <f t="shared" si="20"/>
        <v>1.0104856739044084</v>
      </c>
      <c r="L13" s="2">
        <f t="shared" si="20"/>
        <v>1.0419085360847873</v>
      </c>
      <c r="M13" s="2">
        <f t="shared" si="20"/>
        <v>1.0989766278775916</v>
      </c>
      <c r="N13" s="2">
        <f t="shared" si="20"/>
        <v>1.1903566786766733</v>
      </c>
      <c r="O13" s="2">
        <f t="shared" si="20"/>
        <v>1.3181087267787752</v>
      </c>
      <c r="P13" s="2">
        <f t="shared" si="20"/>
        <v>1.4126105027051314</v>
      </c>
      <c r="Q13" s="2"/>
      <c r="R13" s="3"/>
      <c r="S13" t="str">
        <f t="shared" si="2"/>
        <v>Beta - 33</v>
      </c>
      <c r="T13" s="2">
        <f>MIN(DEGREES(ACOS((-TAN($B2*PI()/180))*TAN(E6*PI()/180))),DEGREES(ACOS((-TAN(($B2-$B22)*PI()/180))*TAN(E6*PI()/180))))</f>
        <v>64.357071680080139</v>
      </c>
      <c r="U13" s="2">
        <f t="shared" ref="U13:AE13" si="21">MIN(DEGREES(ACOS((-TAN($B2*PI()/180))*TAN(F6*PI()/180))),DEGREES(ACOS((-TAN(($B2-$B22)*PI()/180))*TAN(F6*PI()/180))))</f>
        <v>74.902424284262636</v>
      </c>
      <c r="V13" s="2">
        <f t="shared" si="21"/>
        <v>87.259767273219694</v>
      </c>
      <c r="W13" s="2">
        <f t="shared" si="21"/>
        <v>92.64460717596765</v>
      </c>
      <c r="X13" s="2">
        <f t="shared" si="21"/>
        <v>95.433200268546628</v>
      </c>
      <c r="Y13" s="2">
        <f t="shared" si="21"/>
        <v>96.811832219572835</v>
      </c>
      <c r="Z13" s="2">
        <f t="shared" si="21"/>
        <v>96.190850982112352</v>
      </c>
      <c r="AA13" s="2">
        <f t="shared" si="21"/>
        <v>93.817238226804946</v>
      </c>
      <c r="AB13" s="2">
        <f t="shared" si="21"/>
        <v>90.617200966607797</v>
      </c>
      <c r="AC13" s="2">
        <f t="shared" si="21"/>
        <v>78.959709277416707</v>
      </c>
      <c r="AD13" s="2">
        <f t="shared" si="21"/>
        <v>67.174154403625039</v>
      </c>
      <c r="AE13" s="2">
        <f t="shared" si="21"/>
        <v>61.198024919238009</v>
      </c>
    </row>
    <row r="14" spans="1:31" x14ac:dyDescent="0.25">
      <c r="A14" s="4"/>
      <c r="B14">
        <f>B13+3</f>
        <v>9</v>
      </c>
      <c r="D14" t="str">
        <f t="shared" si="19"/>
        <v>RbBar at Beta = 9</v>
      </c>
      <c r="E14" s="2">
        <f>(((COS(($B2-$B14)*PI()/180)*COS(E6*PI()/180)*SIN(T5*PI()/180))+((PI()/180)*T5*SIN(($B2-$B14)*PI()/180)*SIN(E6*PI()/180)))/((COS($B2*PI()/180)*COS(E6*PI()/180)*SIN(E7*PI()/180))+((PI()/180)*E7*SIN($B2*PI()/180)*SIN(E6*PI()/180))))</f>
        <v>1.5337499704595485</v>
      </c>
      <c r="F14" s="2">
        <f t="shared" ref="F14:P14" si="22">(((COS(($B2-$B14)*PI()/180)*COS(F6*PI()/180)*SIN(U5*PI()/180))+((PI()/180)*U5*SIN(($B2-$B14)*PI()/180)*SIN(F6*PI()/180)))/((COS($B2*PI()/180)*COS(F6*PI()/180)*SIN(F7*PI()/180))+((PI()/180)*F7*SIN($B2*PI()/180)*SIN(F6*PI()/180))))</f>
        <v>1.3365911735994851</v>
      </c>
      <c r="G14" s="2">
        <f t="shared" si="22"/>
        <v>1.1896058105840153</v>
      </c>
      <c r="H14" s="2">
        <f t="shared" si="22"/>
        <v>1.0866223581650816</v>
      </c>
      <c r="I14" s="2">
        <f t="shared" si="22"/>
        <v>1.0266992894651779</v>
      </c>
      <c r="J14" s="2">
        <f t="shared" si="22"/>
        <v>1.0025434641664892</v>
      </c>
      <c r="K14" s="2">
        <f t="shared" si="22"/>
        <v>1.0130687189872802</v>
      </c>
      <c r="L14" s="2">
        <f t="shared" si="22"/>
        <v>1.0592673083416222</v>
      </c>
      <c r="M14" s="2">
        <f t="shared" si="22"/>
        <v>1.1440355149313284</v>
      </c>
      <c r="N14" s="2">
        <f t="shared" si="22"/>
        <v>1.2807693694884352</v>
      </c>
      <c r="O14" s="2">
        <f t="shared" si="22"/>
        <v>1.4719596221517066</v>
      </c>
      <c r="P14" s="2">
        <f t="shared" si="22"/>
        <v>1.6133884186751699</v>
      </c>
      <c r="Q14" s="2"/>
      <c r="R14" s="3"/>
      <c r="S14" t="str">
        <f t="shared" si="2"/>
        <v>Beta - 36</v>
      </c>
      <c r="T14" s="2">
        <f>MIN(DEGREES(ACOS((-TAN($B2*PI()/180))*TAN(E6*PI()/180))),DEGREES(ACOS((-TAN(($B2-$B23)*PI()/180))*TAN(E6*PI()/180))))</f>
        <v>64.357071680080139</v>
      </c>
      <c r="U14" s="2">
        <f t="shared" ref="U14:AE14" si="23">MIN(DEGREES(ACOS((-TAN($B2*PI()/180))*TAN(F6*PI()/180))),DEGREES(ACOS((-TAN(($B2-$B23)*PI()/180))*TAN(F6*PI()/180))))</f>
        <v>74.902424284262636</v>
      </c>
      <c r="V14" s="2">
        <f t="shared" si="23"/>
        <v>87.259767273219694</v>
      </c>
      <c r="W14" s="2">
        <f t="shared" si="23"/>
        <v>92.1154033045527</v>
      </c>
      <c r="X14" s="2">
        <f t="shared" si="23"/>
        <v>94.344185700092368</v>
      </c>
      <c r="Y14" s="2">
        <f t="shared" si="23"/>
        <v>95.444798049660193</v>
      </c>
      <c r="Z14" s="2">
        <f t="shared" si="23"/>
        <v>94.949173994969286</v>
      </c>
      <c r="AA14" s="2">
        <f t="shared" si="23"/>
        <v>93.05295931897642</v>
      </c>
      <c r="AB14" s="2">
        <f t="shared" si="23"/>
        <v>90.493754569854119</v>
      </c>
      <c r="AC14" s="2">
        <f t="shared" si="23"/>
        <v>78.959709277416707</v>
      </c>
      <c r="AD14" s="2">
        <f t="shared" si="23"/>
        <v>67.174154403625039</v>
      </c>
      <c r="AE14" s="2">
        <f t="shared" si="23"/>
        <v>61.198024919238009</v>
      </c>
    </row>
    <row r="15" spans="1:31" x14ac:dyDescent="0.25">
      <c r="A15" s="4"/>
      <c r="B15">
        <f t="shared" ref="B15:B41" si="24">B14+3</f>
        <v>12</v>
      </c>
      <c r="D15" t="str">
        <f t="shared" si="19"/>
        <v>RbBar at Beta = 12</v>
      </c>
      <c r="E15" s="2">
        <f>(((COS(($B2-$B15)*PI()/180)*COS(E6*PI()/180)*SIN(T6*PI()/180))+((PI()/180)*T6*SIN(($B2-$B15)*PI()/180)*SIN(E6*PI()/180)))/((COS($B2*PI()/180)*COS(E6*PI()/180)*SIN(E7*PI()/180))+((PI()/180)*E7*SIN($B2*PI()/180)*SIN(E6*PI()/180))))</f>
        <v>1.7038994146107123</v>
      </c>
      <c r="F15" s="2">
        <f t="shared" ref="F15:P15" si="25">(((COS(($B2-$B15)*PI()/180)*COS(F6*PI()/180)*SIN(U6*PI()/180))+((PI()/180)*U6*SIN(($B2-$B15)*PI()/180)*SIN(F6*PI()/180)))/((COS($B2*PI()/180)*COS(F6*PI()/180)*SIN(F7*PI()/180))+((PI()/180)*F7*SIN($B2*PI()/180)*SIN(F6*PI()/180))))</f>
        <v>1.4418624088637439</v>
      </c>
      <c r="G15" s="2">
        <f t="shared" si="25"/>
        <v>1.2465091959886323</v>
      </c>
      <c r="H15" s="2">
        <f t="shared" si="25"/>
        <v>1.110062076995411</v>
      </c>
      <c r="I15" s="2">
        <f t="shared" si="25"/>
        <v>1.0314473615231445</v>
      </c>
      <c r="J15" s="2">
        <f t="shared" si="25"/>
        <v>0.99999430656085753</v>
      </c>
      <c r="K15" s="2">
        <f t="shared" si="25"/>
        <v>1.01367863060682</v>
      </c>
      <c r="L15" s="2">
        <f t="shared" si="25"/>
        <v>1.0740843031798237</v>
      </c>
      <c r="M15" s="2">
        <f t="shared" si="25"/>
        <v>1.1859713708680817</v>
      </c>
      <c r="N15" s="2">
        <f t="shared" si="25"/>
        <v>1.3676715604836165</v>
      </c>
      <c r="O15" s="2">
        <f t="shared" si="25"/>
        <v>1.6217759785149795</v>
      </c>
      <c r="P15" s="2">
        <f t="shared" si="25"/>
        <v>1.809744149134874</v>
      </c>
      <c r="Q15" s="2"/>
      <c r="R15" s="3"/>
      <c r="S15" t="str">
        <f t="shared" si="2"/>
        <v>Beta - 39</v>
      </c>
      <c r="T15" s="2">
        <f>MIN(DEGREES(ACOS((-TAN($B2*PI()/180))*TAN(E6*PI()/180))),DEGREES(ACOS((-TAN(($B2-$B24)*PI()/180))*TAN(E6*PI()/180))))</f>
        <v>64.357071680080139</v>
      </c>
      <c r="U15" s="2">
        <f t="shared" ref="U15:AE15" si="26">MIN(DEGREES(ACOS((-TAN($B2*PI()/180))*TAN(F6*PI()/180))),DEGREES(ACOS((-TAN(($B2-$B24)*PI()/180))*TAN(F6*PI()/180))))</f>
        <v>74.902424284262636</v>
      </c>
      <c r="V15" s="2">
        <f t="shared" si="26"/>
        <v>87.259767273219694</v>
      </c>
      <c r="W15" s="2">
        <f t="shared" si="26"/>
        <v>91.598579600513162</v>
      </c>
      <c r="X15" s="2">
        <f t="shared" si="26"/>
        <v>93.281807534928546</v>
      </c>
      <c r="Y15" s="2">
        <f t="shared" si="26"/>
        <v>94.112295048683023</v>
      </c>
      <c r="Z15" s="2">
        <f t="shared" si="26"/>
        <v>93.738385787411502</v>
      </c>
      <c r="AA15" s="2">
        <f t="shared" si="26"/>
        <v>92.306833461038224</v>
      </c>
      <c r="AB15" s="2">
        <f t="shared" si="26"/>
        <v>90.373157553097897</v>
      </c>
      <c r="AC15" s="2">
        <f t="shared" si="26"/>
        <v>78.959709277416707</v>
      </c>
      <c r="AD15" s="2">
        <f t="shared" si="26"/>
        <v>67.174154403625039</v>
      </c>
      <c r="AE15" s="2">
        <f t="shared" si="26"/>
        <v>61.198024919238009</v>
      </c>
    </row>
    <row r="16" spans="1:31" x14ac:dyDescent="0.25">
      <c r="A16" s="4"/>
      <c r="B16">
        <f t="shared" si="24"/>
        <v>15</v>
      </c>
      <c r="D16" t="str">
        <f t="shared" si="19"/>
        <v>RbBar at Beta = 15</v>
      </c>
      <c r="E16" s="2">
        <f>(((COS(($B2-$B16)*PI()/180)*COS(E6*PI()/180)*SIN(T7*PI()/180))+((PI()/180)*T7*SIN(($B2-$B16)*PI()/180)*SIN(E6*PI()/180)))/((COS($B2*PI()/180)*COS(E6*PI()/180)*SIN(E7*PI()/180))+((PI()/180)*E7*SIN($B2*PI()/180)*SIN(E6*PI()/180))))</f>
        <v>1.8693785889030243</v>
      </c>
      <c r="F16" s="2">
        <f t="shared" ref="F16:P16" si="27">(((COS(($B2-$B16)*PI()/180)*COS(F6*PI()/180)*SIN(U7*PI()/180))+((PI()/180)*U7*SIN(($B2-$B16)*PI()/180)*SIN(F6*PI()/180)))/((COS($B2*PI()/180)*COS(F6*PI()/180)*SIN(F7*PI()/180))+((PI()/180)*F7*SIN($B2*PI()/180)*SIN(F6*PI()/180))))</f>
        <v>1.5431815994879341</v>
      </c>
      <c r="G16" s="2">
        <f t="shared" si="27"/>
        <v>1.2999959863308361</v>
      </c>
      <c r="H16" s="2">
        <f t="shared" si="27"/>
        <v>1.1306281497282444</v>
      </c>
      <c r="I16" s="2">
        <f t="shared" si="27"/>
        <v>1.033938416346998</v>
      </c>
      <c r="J16" s="2">
        <f t="shared" si="27"/>
        <v>0.9955212226363348</v>
      </c>
      <c r="K16" s="2">
        <f t="shared" si="27"/>
        <v>1.0122126463362786</v>
      </c>
      <c r="L16" s="2">
        <f t="shared" si="27"/>
        <v>1.0862756785249608</v>
      </c>
      <c r="M16" s="2">
        <f t="shared" si="27"/>
        <v>1.2246677785426416</v>
      </c>
      <c r="N16" s="2">
        <f t="shared" si="27"/>
        <v>1.4508250587971965</v>
      </c>
      <c r="O16" s="2">
        <f t="shared" si="27"/>
        <v>1.7671471596494075</v>
      </c>
      <c r="P16" s="2">
        <f t="shared" si="27"/>
        <v>2.0011394966755716</v>
      </c>
      <c r="Q16" s="2"/>
      <c r="R16" s="3"/>
      <c r="S16" t="str">
        <f t="shared" si="2"/>
        <v>Beta - 42</v>
      </c>
      <c r="T16" s="2">
        <f>MIN(DEGREES(ACOS((-TAN($B2*PI()/180))*TAN(E6*PI()/180))),DEGREES(ACOS((-TAN(($B2-$B25)*PI()/180))*TAN(E6*PI()/180))))</f>
        <v>64.357071680080139</v>
      </c>
      <c r="U16" s="2">
        <f t="shared" ref="U16:AE16" si="28">MIN(DEGREES(ACOS((-TAN($B2*PI()/180))*TAN(F6*PI()/180))),DEGREES(ACOS((-TAN(($B2-$B25)*PI()/180))*TAN(F6*PI()/180))))</f>
        <v>74.902424284262636</v>
      </c>
      <c r="V16" s="2">
        <f t="shared" si="28"/>
        <v>87.259767273219694</v>
      </c>
      <c r="W16" s="2">
        <f t="shared" si="28"/>
        <v>91.090916913222756</v>
      </c>
      <c r="X16" s="2">
        <f t="shared" si="28"/>
        <v>92.239100942363137</v>
      </c>
      <c r="Y16" s="2">
        <f t="shared" si="28"/>
        <v>92.80525519292928</v>
      </c>
      <c r="Z16" s="2">
        <f t="shared" si="28"/>
        <v>92.550391594984973</v>
      </c>
      <c r="AA16" s="2">
        <f t="shared" si="28"/>
        <v>91.574131658215634</v>
      </c>
      <c r="AB16" s="2">
        <f t="shared" si="28"/>
        <v>90.254670188972497</v>
      </c>
      <c r="AC16" s="2">
        <f t="shared" si="28"/>
        <v>78.959709277416707</v>
      </c>
      <c r="AD16" s="2">
        <f t="shared" si="28"/>
        <v>67.174154403625039</v>
      </c>
      <c r="AE16" s="2">
        <f t="shared" si="28"/>
        <v>61.198024919238009</v>
      </c>
    </row>
    <row r="17" spans="1:31" x14ac:dyDescent="0.25">
      <c r="A17" s="4"/>
      <c r="B17">
        <f t="shared" si="24"/>
        <v>18</v>
      </c>
      <c r="D17" t="str">
        <f t="shared" si="19"/>
        <v>RbBar at Beta = 18</v>
      </c>
      <c r="E17" s="2">
        <f>(((COS(($B2-$B17)*PI()/180)*COS(E6*PI()/180)*SIN(T8*PI()/180))+((PI()/180)*T8*SIN(($B2-$B17)*PI()/180)*SIN(E6*PI()/180)))/((COS($B2*PI()/180)*COS(E6*PI()/180)*SIN(E7*PI()/180))+((PI()/180)*E7*SIN($B2*PI()/180)*SIN(E6*PI()/180))))</f>
        <v>2.029733926422066</v>
      </c>
      <c r="F17" s="2">
        <f t="shared" ref="F17:P17" si="29">(((COS(($B2-$B17)*PI()/180)*COS(F6*PI()/180)*SIN(U8*PI()/180))+((PI()/180)*U8*SIN(($B2-$B17)*PI()/180)*SIN(F6*PI()/180)))/((COS($B2*PI()/180)*COS(F6*PI()/180)*SIN(F7*PI()/180))+((PI()/180)*F7*SIN($B2*PI()/180)*SIN(F6*PI()/180))))</f>
        <v>1.6402710366131659</v>
      </c>
      <c r="G17" s="2">
        <f t="shared" si="29"/>
        <v>1.3499195780361199</v>
      </c>
      <c r="H17" s="2">
        <f t="shared" si="29"/>
        <v>1.1482462927408066</v>
      </c>
      <c r="I17" s="2">
        <f t="shared" si="29"/>
        <v>1.034102504963587</v>
      </c>
      <c r="J17" s="2">
        <f t="shared" si="29"/>
        <v>0.98904292439695951</v>
      </c>
      <c r="K17" s="2">
        <f t="shared" si="29"/>
        <v>1.0085956358262087</v>
      </c>
      <c r="L17" s="2">
        <f t="shared" si="29"/>
        <v>1.095773774742526</v>
      </c>
      <c r="M17" s="2">
        <f t="shared" si="29"/>
        <v>1.2600174991994304</v>
      </c>
      <c r="N17" s="2">
        <f t="shared" si="29"/>
        <v>1.5300019464702268</v>
      </c>
      <c r="O17" s="2">
        <f t="shared" si="29"/>
        <v>1.9076747132521306</v>
      </c>
      <c r="P17" s="2">
        <f t="shared" si="29"/>
        <v>2.1870498599533841</v>
      </c>
      <c r="Q17" s="2"/>
      <c r="R17" s="3"/>
      <c r="S17" t="str">
        <f t="shared" si="2"/>
        <v>Beta - 45</v>
      </c>
      <c r="T17" s="2">
        <f>MIN(DEGREES(ACOS((-TAN($B2*PI()/180))*TAN(E6*PI()/180))),DEGREES(ACOS((-TAN(($B2-$B26)*PI()/180))*TAN(E6*PI()/180))))</f>
        <v>64.357071680080139</v>
      </c>
      <c r="U17" s="2">
        <f t="shared" ref="U17:AE17" si="30">MIN(DEGREES(ACOS((-TAN($B2*PI()/180))*TAN(F6*PI()/180))),DEGREES(ACOS((-TAN(($B2-$B26)*PI()/180))*TAN(F6*PI()/180))))</f>
        <v>74.902424284262636</v>
      </c>
      <c r="V17" s="2">
        <f t="shared" si="30"/>
        <v>87.259767273219694</v>
      </c>
      <c r="W17" s="2">
        <f t="shared" si="30"/>
        <v>90.589411613986925</v>
      </c>
      <c r="X17" s="2">
        <f t="shared" si="30"/>
        <v>91.209597773960752</v>
      </c>
      <c r="Y17" s="2">
        <f t="shared" si="30"/>
        <v>91.515287604246936</v>
      </c>
      <c r="Z17" s="2">
        <f t="shared" si="30"/>
        <v>91.377688035690966</v>
      </c>
      <c r="AA17" s="2">
        <f t="shared" si="30"/>
        <v>90.850448382168011</v>
      </c>
      <c r="AB17" s="2">
        <f t="shared" si="30"/>
        <v>90.137601349422312</v>
      </c>
      <c r="AC17" s="2">
        <f t="shared" si="30"/>
        <v>78.959709277416707</v>
      </c>
      <c r="AD17" s="2">
        <f t="shared" si="30"/>
        <v>67.174154403625039</v>
      </c>
      <c r="AE17" s="2">
        <f t="shared" si="30"/>
        <v>61.198024919238009</v>
      </c>
    </row>
    <row r="18" spans="1:31" x14ac:dyDescent="0.25">
      <c r="A18" s="4"/>
      <c r="B18">
        <f t="shared" si="24"/>
        <v>21</v>
      </c>
      <c r="D18" t="str">
        <f t="shared" si="19"/>
        <v>RbBar at Beta = 21</v>
      </c>
      <c r="E18" s="2">
        <f>(((COS(($B2-$B18)*PI()/180)*COS(E6*PI()/180)*SIN(T9*PI()/180))+((PI()/180)*T9*SIN(($B2-$B18)*PI()/180)*SIN(E6*PI()/180)))/((COS($B2*PI()/180)*COS(E6*PI()/180)*SIN(E7*PI()/180))+((PI()/180)*E7*SIN($B2*PI()/180)*SIN(E6*PI()/180))))</f>
        <v>2.1845259043338596</v>
      </c>
      <c r="F18" s="2">
        <f t="shared" ref="F18:P18" si="31">(((COS(($B2-$B18)*PI()/180)*COS(F6*PI()/180)*SIN(U9*PI()/180))+((PI()/180)*U9*SIN(($B2-$B18)*PI()/180)*SIN(F6*PI()/180)))/((COS($B2*PI()/180)*COS(F6*PI()/180)*SIN(F7*PI()/180))+((PI()/180)*F7*SIN($B2*PI()/180)*SIN(F6*PI()/180))))</f>
        <v>1.7328646048408833</v>
      </c>
      <c r="G18" s="2">
        <f t="shared" si="31"/>
        <v>1.3961431340097663</v>
      </c>
      <c r="H18" s="2">
        <f t="shared" si="31"/>
        <v>1.1628538548182938</v>
      </c>
      <c r="I18" s="2">
        <f t="shared" si="31"/>
        <v>1.0318889995291542</v>
      </c>
      <c r="J18" s="2">
        <f t="shared" si="31"/>
        <v>0.98050333268011114</v>
      </c>
      <c r="K18" s="2">
        <f t="shared" si="31"/>
        <v>1.0027748227390265</v>
      </c>
      <c r="L18" s="2">
        <f t="shared" si="31"/>
        <v>1.1025251793339905</v>
      </c>
      <c r="M18" s="2">
        <f t="shared" si="31"/>
        <v>1.2919226979171883</v>
      </c>
      <c r="N18" s="2">
        <f t="shared" si="31"/>
        <v>1.6049852051571141</v>
      </c>
      <c r="O18" s="2">
        <f t="shared" si="31"/>
        <v>2.0429734630666725</v>
      </c>
      <c r="P18" s="2">
        <f t="shared" si="31"/>
        <v>2.3669656715850347</v>
      </c>
      <c r="Q18" s="2"/>
      <c r="R18" s="3"/>
      <c r="S18" t="str">
        <f t="shared" si="2"/>
        <v>Beta - 48</v>
      </c>
      <c r="T18" s="2">
        <f>MIN(DEGREES(ACOS((-TAN($B2*PI()/180))*TAN(E6*PI()/180))),DEGREES(ACOS((-TAN(($B2-$B27)*PI()/180))*TAN(E6*PI()/180))))</f>
        <v>64.357071680080139</v>
      </c>
      <c r="U18" s="2">
        <f t="shared" ref="U18:AE18" si="32">MIN(DEGREES(ACOS((-TAN($B2*PI()/180))*TAN(F6*PI()/180))),DEGREES(ACOS((-TAN(($B2-$B27)*PI()/180))*TAN(F6*PI()/180))))</f>
        <v>74.902424284262636</v>
      </c>
      <c r="V18" s="2">
        <f t="shared" si="32"/>
        <v>87.259767273219694</v>
      </c>
      <c r="W18" s="2">
        <f t="shared" si="32"/>
        <v>90.09120163977903</v>
      </c>
      <c r="X18" s="2">
        <f t="shared" si="32"/>
        <v>90.187154780462336</v>
      </c>
      <c r="Y18" s="2">
        <f t="shared" si="32"/>
        <v>90.234442902276768</v>
      </c>
      <c r="Z18" s="2">
        <f t="shared" si="32"/>
        <v>90.213157919542525</v>
      </c>
      <c r="AA18" s="2">
        <f t="shared" si="32"/>
        <v>90.131590285197234</v>
      </c>
      <c r="AB18" s="2">
        <f t="shared" si="32"/>
        <v>90.021291865780697</v>
      </c>
      <c r="AC18" s="2">
        <f t="shared" si="32"/>
        <v>78.959709277416707</v>
      </c>
      <c r="AD18" s="2">
        <f t="shared" si="32"/>
        <v>67.174154403625039</v>
      </c>
      <c r="AE18" s="2">
        <f t="shared" si="32"/>
        <v>61.198024919238009</v>
      </c>
    </row>
    <row r="19" spans="1:31" x14ac:dyDescent="0.25">
      <c r="A19" s="4"/>
      <c r="B19">
        <f t="shared" si="24"/>
        <v>24</v>
      </c>
      <c r="D19" t="str">
        <f t="shared" si="19"/>
        <v>RbBar at Beta = 24</v>
      </c>
      <c r="E19" s="2">
        <f>(((COS(($B2-$B19)*PI()/180)*COS(E6*PI()/180)*SIN(T10*PI()/180))+((PI()/180)*T10*SIN(($B2-$B19)*PI()/180)*SIN(E6*PI()/180)))/((COS($B2*PI()/180)*COS(E6*PI()/180)*SIN(E7*PI()/180))+((PI()/180)*E7*SIN($B2*PI()/180)*SIN(E6*PI()/180))))</f>
        <v>2.3333302485864085</v>
      </c>
      <c r="F19" s="2">
        <f t="shared" ref="F19:P19" si="33">(((COS(($B2-$B19)*PI()/180)*COS(F6*PI()/180)*SIN(U10*PI()/180))+((PI()/180)*U10*SIN(($B2-$B19)*PI()/180)*SIN(F6*PI()/180)))/((COS($B2*PI()/180)*COS(F6*PI()/180)*SIN(F7*PI()/180))+((PI()/180)*F7*SIN($B2*PI()/180)*SIN(F6*PI()/180))))</f>
        <v>1.8207085116366728</v>
      </c>
      <c r="G19" s="2">
        <f t="shared" si="33"/>
        <v>1.4385399586978114</v>
      </c>
      <c r="H19" s="2">
        <f t="shared" si="33"/>
        <v>1.1743992148176818</v>
      </c>
      <c r="I19" s="2">
        <f t="shared" si="33"/>
        <v>1.0272637750150995</v>
      </c>
      <c r="J19" s="2">
        <f t="shared" si="33"/>
        <v>0.96986705073545887</v>
      </c>
      <c r="K19" s="2">
        <f t="shared" si="33"/>
        <v>0.99471609426114349</v>
      </c>
      <c r="L19" s="2">
        <f t="shared" si="33"/>
        <v>1.1064893541975083</v>
      </c>
      <c r="M19" s="2">
        <f t="shared" si="33"/>
        <v>1.3202951621268864</v>
      </c>
      <c r="N19" s="2">
        <f t="shared" si="33"/>
        <v>1.6755693109578189</v>
      </c>
      <c r="O19" s="2">
        <f t="shared" si="33"/>
        <v>2.172672564624293</v>
      </c>
      <c r="P19" s="2">
        <f t="shared" si="33"/>
        <v>2.5403937948366377</v>
      </c>
      <c r="Q19" s="2"/>
      <c r="R19" s="3"/>
      <c r="S19" t="str">
        <f t="shared" si="2"/>
        <v>Beta - 51</v>
      </c>
      <c r="T19" s="2">
        <f>MIN(DEGREES(ACOS((-TAN($B2*PI()/180))*TAN(E6*PI()/180))),DEGREES(ACOS((-TAN(($B2-$B28)*PI()/180))*TAN(E6*PI()/180))))</f>
        <v>64.357071680080139</v>
      </c>
      <c r="U19" s="2">
        <f t="shared" ref="U19:AE19" si="34">MIN(DEGREES(ACOS((-TAN($B2*PI()/180))*TAN(F6*PI()/180))),DEGREES(ACOS((-TAN(($B2-$B28)*PI()/180))*TAN(F6*PI()/180))))</f>
        <v>74.902424284262636</v>
      </c>
      <c r="V19" s="2">
        <f t="shared" si="34"/>
        <v>87.259767273219694</v>
      </c>
      <c r="W19" s="2">
        <f t="shared" si="34"/>
        <v>89.593499604515515</v>
      </c>
      <c r="X19" s="2">
        <f t="shared" si="34"/>
        <v>89.165799661604524</v>
      </c>
      <c r="Y19" s="2">
        <f t="shared" si="34"/>
        <v>88.955003536201545</v>
      </c>
      <c r="Z19" s="2">
        <f t="shared" si="34"/>
        <v>89.049887043320254</v>
      </c>
      <c r="AA19" s="2">
        <f t="shared" si="34"/>
        <v>89.413475852416013</v>
      </c>
      <c r="AB19" s="2">
        <f t="shared" si="34"/>
        <v>89.905099440271599</v>
      </c>
      <c r="AC19" s="2">
        <f t="shared" si="34"/>
        <v>78.959709277416707</v>
      </c>
      <c r="AD19" s="2">
        <f t="shared" si="34"/>
        <v>67.174154403625039</v>
      </c>
      <c r="AE19" s="2">
        <f t="shared" si="34"/>
        <v>61.198024919238009</v>
      </c>
    </row>
    <row r="20" spans="1:31" x14ac:dyDescent="0.25">
      <c r="A20" s="4"/>
      <c r="B20">
        <f t="shared" si="24"/>
        <v>27</v>
      </c>
      <c r="D20" t="str">
        <f t="shared" si="19"/>
        <v>RbBar at Beta = 27</v>
      </c>
      <c r="E20" s="2">
        <f>(((COS(($B2-$B20)*PI()/180)*COS(E6*PI()/180)*SIN(T11*PI()/180))+((PI()/180)*T11*SIN(($B2-$B20)*PI()/180)*SIN(E6*PI()/180)))/((COS($B2*PI()/180)*COS(E6*PI()/180)*SIN(E7*PI()/180))+((PI()/180)*E7*SIN($B2*PI()/180)*SIN(E6*PI()/180))))</f>
        <v>2.4757390968153792</v>
      </c>
      <c r="F20" s="2">
        <f t="shared" ref="F20:P20" si="35">(((COS(($B2-$B20)*PI()/180)*COS(F6*PI()/180)*SIN(U11*PI()/180))+((PI()/180)*U11*SIN(($B2-$B20)*PI()/180)*SIN(F6*PI()/180)))/((COS($B2*PI()/180)*COS(F6*PI()/180)*SIN(F7*PI()/180))+((PI()/180)*F7*SIN($B2*PI()/180)*SIN(F6*PI()/180))))</f>
        <v>1.9035619829579637</v>
      </c>
      <c r="G20" s="2">
        <f t="shared" si="35"/>
        <v>1.4769938453507523</v>
      </c>
      <c r="H20" s="2">
        <f t="shared" si="35"/>
        <v>1.1828413565900922</v>
      </c>
      <c r="I20" s="2">
        <f t="shared" si="35"/>
        <v>1.0202071751602453</v>
      </c>
      <c r="J20" s="2">
        <f t="shared" si="35"/>
        <v>0.95711614471756412</v>
      </c>
      <c r="K20" s="2">
        <f t="shared" si="35"/>
        <v>0.98440135634433523</v>
      </c>
      <c r="L20" s="2">
        <f t="shared" si="35"/>
        <v>1.1076376407947646</v>
      </c>
      <c r="M20" s="2">
        <f t="shared" si="35"/>
        <v>1.3450565069017306</v>
      </c>
      <c r="N20" s="2">
        <f t="shared" si="35"/>
        <v>1.7415607977445831</v>
      </c>
      <c r="O20" s="2">
        <f t="shared" si="35"/>
        <v>2.2964165217028971</v>
      </c>
      <c r="P20" s="2">
        <f t="shared" si="35"/>
        <v>2.7068588752772014</v>
      </c>
      <c r="Q20" s="2"/>
      <c r="R20" s="3"/>
      <c r="S20" t="str">
        <f t="shared" si="2"/>
        <v>Beta - 54</v>
      </c>
      <c r="T20" s="2">
        <f>MIN(DEGREES(ACOS((-TAN($B2*PI()/180))*TAN(E6*PI()/180))),DEGREES(ACOS((-TAN(($B2-$B29)*PI()/180))*TAN(E6*PI()/180))))</f>
        <v>64.357071680080139</v>
      </c>
      <c r="U20" s="2">
        <f t="shared" ref="U20:AE20" si="36">MIN(DEGREES(ACOS((-TAN($B2*PI()/180))*TAN(F6*PI()/180))),DEGREES(ACOS((-TAN(($B2-$B29)*PI()/180))*TAN(F6*PI()/180))))</f>
        <v>74.902424284262636</v>
      </c>
      <c r="V20" s="2">
        <f t="shared" si="36"/>
        <v>87.259767273219694</v>
      </c>
      <c r="W20" s="2">
        <f t="shared" si="36"/>
        <v>89.093529565412879</v>
      </c>
      <c r="X20" s="2">
        <f t="shared" si="36"/>
        <v>88.139586285932879</v>
      </c>
      <c r="Y20" s="2">
        <f t="shared" si="36"/>
        <v>87.66928741474824</v>
      </c>
      <c r="Z20" s="2">
        <f t="shared" si="36"/>
        <v>87.880992263891969</v>
      </c>
      <c r="AA20" s="2">
        <f t="shared" si="36"/>
        <v>88.692040700100193</v>
      </c>
      <c r="AB20" s="2">
        <f t="shared" si="36"/>
        <v>89.788384361116755</v>
      </c>
      <c r="AC20" s="2">
        <f t="shared" si="36"/>
        <v>78.959709277416707</v>
      </c>
      <c r="AD20" s="2">
        <f t="shared" si="36"/>
        <v>67.174154403625039</v>
      </c>
      <c r="AE20" s="2">
        <f t="shared" si="36"/>
        <v>61.198024919238009</v>
      </c>
    </row>
    <row r="21" spans="1:31" x14ac:dyDescent="0.25">
      <c r="A21" s="4"/>
      <c r="B21">
        <f t="shared" si="24"/>
        <v>30</v>
      </c>
      <c r="D21" t="str">
        <f t="shared" si="19"/>
        <v>RbBar at Beta = 30</v>
      </c>
      <c r="E21" s="2">
        <f>(((COS(($B2-$B21)*PI()/180)*COS(E6*PI()/180)*SIN(T12*PI()/180))+((PI()/180)*T12*SIN(($B2-$B21)*PI()/180)*SIN(E6*PI()/180)))/((COS($B2*PI()/180)*COS(E6*PI()/180)*SIN(E7*PI()/180))+((PI()/180)*E7*SIN($B2*PI()/180)*SIN(E6*PI()/180))))</f>
        <v>2.6113621162664935</v>
      </c>
      <c r="F21" s="2">
        <f t="shared" ref="F21:P21" si="37">(((COS(($B2-$B21)*PI()/180)*COS(F6*PI()/180)*SIN(U12*PI()/180))+((PI()/180)*U12*SIN(($B2-$B21)*PI()/180)*SIN(F6*PI()/180)))/((COS($B2*PI()/180)*COS(F6*PI()/180)*SIN(F7*PI()/180))+((PI()/180)*F7*SIN($B2*PI()/180)*SIN(F6*PI()/180))))</f>
        <v>1.9811979231989381</v>
      </c>
      <c r="G21" s="2">
        <f t="shared" si="37"/>
        <v>1.5113993945381703</v>
      </c>
      <c r="H21" s="2">
        <f t="shared" si="37"/>
        <v>1.1881495617005415</v>
      </c>
      <c r="I21" s="2">
        <f t="shared" si="37"/>
        <v>1.01071251243843</v>
      </c>
      <c r="J21" s="2">
        <f t="shared" si="37"/>
        <v>0.94224780008244324</v>
      </c>
      <c r="K21" s="2">
        <f t="shared" si="37"/>
        <v>0.97182659576843211</v>
      </c>
      <c r="L21" s="2">
        <f t="shared" si="37"/>
        <v>1.1059525231083351</v>
      </c>
      <c r="M21" s="2">
        <f t="shared" si="37"/>
        <v>1.366138362670259</v>
      </c>
      <c r="N21" s="2">
        <f t="shared" si="37"/>
        <v>1.8027787874391366</v>
      </c>
      <c r="O21" s="2">
        <f t="shared" si="37"/>
        <v>2.4138661607174687</v>
      </c>
      <c r="P21" s="2">
        <f t="shared" si="37"/>
        <v>2.8659046436920845</v>
      </c>
      <c r="Q21" s="2"/>
      <c r="R21" s="3"/>
      <c r="S21" t="str">
        <f t="shared" si="2"/>
        <v>Beta - 57</v>
      </c>
      <c r="T21" s="2">
        <f>MIN(DEGREES(ACOS((-TAN($B2*PI()/180))*TAN(E6*PI()/180))),DEGREES(ACOS((-TAN(($B2-$B30)*PI()/180))*TAN(E6*PI()/180))))</f>
        <v>64.357071680080139</v>
      </c>
      <c r="U21" s="2">
        <f t="shared" ref="U21:AE21" si="38">MIN(DEGREES(ACOS((-TAN($B2*PI()/180))*TAN(F6*PI()/180))),DEGREES(ACOS((-TAN(($B2-$B30)*PI()/180))*TAN(F6*PI()/180))))</f>
        <v>74.902424284262636</v>
      </c>
      <c r="V21" s="2">
        <f t="shared" si="38"/>
        <v>87.259767273219694</v>
      </c>
      <c r="W21" s="2">
        <f t="shared" si="38"/>
        <v>88.588464344926251</v>
      </c>
      <c r="X21" s="2">
        <f t="shared" si="38"/>
        <v>87.102451301255684</v>
      </c>
      <c r="Y21" s="2">
        <f t="shared" si="38"/>
        <v>86.369453549164007</v>
      </c>
      <c r="Z21" s="2">
        <f t="shared" si="38"/>
        <v>86.699451280310271</v>
      </c>
      <c r="AA21" s="2">
        <f t="shared" si="38"/>
        <v>87.963143731626573</v>
      </c>
      <c r="AB21" s="2">
        <f t="shared" si="38"/>
        <v>89.670495339871024</v>
      </c>
      <c r="AC21" s="2">
        <f t="shared" si="38"/>
        <v>78.959709277416707</v>
      </c>
      <c r="AD21" s="2">
        <f t="shared" si="38"/>
        <v>67.174154403625039</v>
      </c>
      <c r="AE21" s="2">
        <f t="shared" si="38"/>
        <v>61.198024919238009</v>
      </c>
    </row>
    <row r="22" spans="1:31" x14ac:dyDescent="0.25">
      <c r="A22" s="4"/>
      <c r="B22">
        <f t="shared" si="24"/>
        <v>33</v>
      </c>
      <c r="D22" t="str">
        <f t="shared" si="19"/>
        <v>RbBar at Beta = 33</v>
      </c>
      <c r="E22" s="2">
        <f>(((COS(($B2-$B22)*PI()/180)*COS(E6*PI()/180)*SIN(T13*PI()/180))+((PI()/180)*T13*SIN(($B2-$B22)*PI()/180)*SIN(E6*PI()/180)))/((COS($B2*PI()/180)*COS(E6*PI()/180)*SIN(E7*PI()/180))+((PI()/180)*E7*SIN($B2*PI()/180)*SIN(E6*PI()/180))))</f>
        <v>2.7398275736704756</v>
      </c>
      <c r="F22" s="2">
        <f t="shared" ref="F22:P22" si="39">(((COS(($B2-$B22)*PI()/180)*COS(F6*PI()/180)*SIN(U13*PI()/180))+((PI()/180)*U13*SIN(($B2-$B22)*PI()/180)*SIN(F6*PI()/180)))/((COS($B2*PI()/180)*COS(F6*PI()/180)*SIN(F7*PI()/180))+((PI()/180)*F7*SIN($B2*PI()/180)*SIN(F6*PI()/180))))</f>
        <v>2.0534035376438027</v>
      </c>
      <c r="G22" s="2">
        <f t="shared" si="39"/>
        <v>1.5416623030412426</v>
      </c>
      <c r="H22" s="2">
        <f t="shared" si="39"/>
        <v>1.1903031800520787</v>
      </c>
      <c r="I22" s="2">
        <f t="shared" si="39"/>
        <v>0.9987849389395338</v>
      </c>
      <c r="J22" s="2">
        <f t="shared" si="39"/>
        <v>0.925272579931818</v>
      </c>
      <c r="K22" s="2">
        <f t="shared" si="39"/>
        <v>0.95700043091402598</v>
      </c>
      <c r="L22" s="2">
        <f t="shared" si="39"/>
        <v>1.1014270685725449</v>
      </c>
      <c r="M22" s="2">
        <f t="shared" si="39"/>
        <v>1.38348254227654</v>
      </c>
      <c r="N22" s="2">
        <f t="shared" si="39"/>
        <v>1.8590554857869364</v>
      </c>
      <c r="O22" s="2">
        <f t="shared" si="39"/>
        <v>2.5246995603712934</v>
      </c>
      <c r="P22" s="2">
        <f t="shared" si="39"/>
        <v>3.0170951666851953</v>
      </c>
      <c r="Q22" s="2"/>
      <c r="R22" s="3"/>
      <c r="S22" t="str">
        <f t="shared" si="2"/>
        <v>Beta - 60</v>
      </c>
      <c r="T22" s="2">
        <f>MIN(DEGREES(ACOS((-TAN($B2*PI()/180))*TAN(E6*PI()/180))),DEGREES(ACOS((-TAN(($B2-$B31)*PI()/180))*TAN(E6*PI()/180))))</f>
        <v>64.357071680080139</v>
      </c>
      <c r="U22" s="2">
        <f t="shared" ref="U22:AE22" si="40">MIN(DEGREES(ACOS((-TAN($B2*PI()/180))*TAN(F6*PI()/180))),DEGREES(ACOS((-TAN(($B2-$B31)*PI()/180))*TAN(F6*PI()/180))))</f>
        <v>74.902424284262636</v>
      </c>
      <c r="V22" s="2">
        <f t="shared" si="40"/>
        <v>87.259767273219694</v>
      </c>
      <c r="W22" s="2">
        <f t="shared" si="40"/>
        <v>88.075360355844069</v>
      </c>
      <c r="X22" s="2">
        <f t="shared" si="40"/>
        <v>86.048064488705705</v>
      </c>
      <c r="Y22" s="2">
        <f t="shared" si="40"/>
        <v>85.04729863221506</v>
      </c>
      <c r="Z22" s="2">
        <f t="shared" si="40"/>
        <v>85.497924724845902</v>
      </c>
      <c r="AA22" s="2">
        <f t="shared" si="40"/>
        <v>87.222469437978134</v>
      </c>
      <c r="AB22" s="2">
        <f t="shared" si="40"/>
        <v>89.550754799613955</v>
      </c>
      <c r="AC22" s="2">
        <f t="shared" si="40"/>
        <v>78.959709277416707</v>
      </c>
      <c r="AD22" s="2">
        <f t="shared" si="40"/>
        <v>67.174154403625039</v>
      </c>
      <c r="AE22" s="2">
        <f t="shared" si="40"/>
        <v>61.198024919238009</v>
      </c>
    </row>
    <row r="23" spans="1:31" x14ac:dyDescent="0.25">
      <c r="A23" s="4"/>
      <c r="B23">
        <f t="shared" si="24"/>
        <v>36</v>
      </c>
      <c r="D23" t="str">
        <f t="shared" si="19"/>
        <v>RbBar at Beta = 36</v>
      </c>
      <c r="E23" s="2">
        <f>(((COS(($B2-$B23)*PI()/180)*COS(E6*PI()/180)*SIN(T14*PI()/180))+((PI()/180)*T14*SIN(($B2-$B23)*PI()/180)*SIN(E6*PI()/180)))/((COS($B2*PI()/180)*COS(E6*PI()/180)*SIN(E7*PI()/180))+((PI()/180)*E7*SIN($B2*PI()/180)*SIN(E6*PI()/180))))</f>
        <v>2.8607833541381074</v>
      </c>
      <c r="F23" s="2">
        <f t="shared" ref="F23:P23" si="41">(((COS(($B2-$B23)*PI()/180)*COS(F6*PI()/180)*SIN(U14*PI()/180))+((PI()/180)*U14*SIN(($B2-$B23)*PI()/180)*SIN(F6*PI()/180)))/((COS($B2*PI()/180)*COS(F6*PI()/180)*SIN(F7*PI()/180))+((PI()/180)*F7*SIN($B2*PI()/180)*SIN(F6*PI()/180))))</f>
        <v>2.1199809157223157</v>
      </c>
      <c r="G23" s="2">
        <f t="shared" si="41"/>
        <v>1.567699622331312</v>
      </c>
      <c r="H23" s="2">
        <f t="shared" si="41"/>
        <v>1.1892914512168939</v>
      </c>
      <c r="I23" s="2">
        <f t="shared" si="41"/>
        <v>0.98444057962331244</v>
      </c>
      <c r="J23" s="2">
        <f t="shared" si="41"/>
        <v>0.90621310665957677</v>
      </c>
      <c r="K23" s="2">
        <f t="shared" si="41"/>
        <v>0.93994300758084215</v>
      </c>
      <c r="L23" s="2">
        <f t="shared" si="41"/>
        <v>1.0940644930061061</v>
      </c>
      <c r="M23" s="2">
        <f t="shared" si="41"/>
        <v>1.3970411851696674</v>
      </c>
      <c r="N23" s="2">
        <f t="shared" si="41"/>
        <v>1.9102366422695565</v>
      </c>
      <c r="O23" s="2">
        <f t="shared" si="41"/>
        <v>2.6286129340198547</v>
      </c>
      <c r="P23" s="2">
        <f t="shared" si="41"/>
        <v>3.160016041542137</v>
      </c>
      <c r="Q23" s="2"/>
      <c r="R23" s="3"/>
      <c r="S23" t="str">
        <f t="shared" si="2"/>
        <v>Beta - 63</v>
      </c>
      <c r="T23" s="2">
        <f>MIN(DEGREES(ACOS((-TAN($B2*PI()/180))*TAN(E6*PI()/180))),DEGREES(ACOS((-TAN(($B2-$B32)*PI()/180))*TAN(E6*PI()/180))))</f>
        <v>64.357071680080139</v>
      </c>
      <c r="U23" s="2">
        <f t="shared" ref="U23:AE23" si="42">MIN(DEGREES(ACOS((-TAN($B2*PI()/180))*TAN(F6*PI()/180))),DEGREES(ACOS((-TAN(($B2-$B32)*PI()/180))*TAN(F6*PI()/180))))</f>
        <v>74.902424284262636</v>
      </c>
      <c r="V23" s="2">
        <f t="shared" si="42"/>
        <v>87.259767273219694</v>
      </c>
      <c r="W23" s="2">
        <f t="shared" si="42"/>
        <v>87.551086664522174</v>
      </c>
      <c r="X23" s="2">
        <f t="shared" si="42"/>
        <v>84.96966461459472</v>
      </c>
      <c r="Y23" s="2">
        <f t="shared" si="42"/>
        <v>83.694032531982984</v>
      </c>
      <c r="Z23" s="2">
        <f t="shared" si="42"/>
        <v>84.268560393425531</v>
      </c>
      <c r="AA23" s="2">
        <f t="shared" si="42"/>
        <v>86.465421288251619</v>
      </c>
      <c r="AB23" s="2">
        <f t="shared" si="42"/>
        <v>89.428442897464222</v>
      </c>
      <c r="AC23" s="2">
        <f t="shared" si="42"/>
        <v>78.959709277416707</v>
      </c>
      <c r="AD23" s="2">
        <f t="shared" si="42"/>
        <v>67.174154403625039</v>
      </c>
      <c r="AE23" s="2">
        <f t="shared" si="42"/>
        <v>61.198024919238009</v>
      </c>
    </row>
    <row r="24" spans="1:31" x14ac:dyDescent="0.25">
      <c r="A24" s="4"/>
      <c r="B24">
        <f t="shared" si="24"/>
        <v>39</v>
      </c>
      <c r="D24" t="str">
        <f t="shared" si="19"/>
        <v>RbBar at Beta = 39</v>
      </c>
      <c r="E24" s="2">
        <f>(((COS(($B2-$B24)*PI()/180)*COS(E6*PI()/180)*SIN(T15*PI()/180))+((PI()/180)*T15*SIN(($B2-$B24)*PI()/180)*SIN(E6*PI()/180)))/((COS($B2*PI()/180)*COS(E6*PI()/180)*SIN(E7*PI()/180))+((PI()/180)*E7*SIN($B2*PI()/180)*SIN(E6*PI()/180))))</f>
        <v>2.973897926282659</v>
      </c>
      <c r="F24" s="2">
        <f t="shared" ref="F24:P24" si="43">(((COS(($B2-$B24)*PI()/180)*COS(F6*PI()/180)*SIN(U15*PI()/180))+((PI()/180)*U15*SIN(($B2-$B24)*PI()/180)*SIN(F6*PI()/180)))/((COS($B2*PI()/180)*COS(F6*PI()/180)*SIN(F7*PI()/180))+((PI()/180)*F7*SIN($B2*PI()/180)*SIN(F6*PI()/180))))</f>
        <v>2.180747573468901</v>
      </c>
      <c r="G24" s="2">
        <f t="shared" si="43"/>
        <v>1.589439985926036</v>
      </c>
      <c r="H24" s="2">
        <f t="shared" si="43"/>
        <v>1.1851133577166768</v>
      </c>
      <c r="I24" s="2">
        <f t="shared" si="43"/>
        <v>0.96770585456102443</v>
      </c>
      <c r="J24" s="2">
        <f t="shared" si="43"/>
        <v>0.885103048089383</v>
      </c>
      <c r="K24" s="2">
        <f t="shared" si="43"/>
        <v>0.9206851435267025</v>
      </c>
      <c r="L24" s="2">
        <f t="shared" si="43"/>
        <v>1.0838778125763453</v>
      </c>
      <c r="M24" s="2">
        <f t="shared" si="43"/>
        <v>1.4067768771040436</v>
      </c>
      <c r="N24" s="2">
        <f t="shared" si="43"/>
        <v>1.9561819728946368</v>
      </c>
      <c r="O24" s="2">
        <f t="shared" si="43"/>
        <v>2.7253214623289126</v>
      </c>
      <c r="P24" s="2">
        <f t="shared" si="43"/>
        <v>3.294275532079233</v>
      </c>
      <c r="Q24" s="2"/>
      <c r="R24" s="3"/>
      <c r="S24" t="str">
        <f t="shared" si="2"/>
        <v>Beta - 66</v>
      </c>
      <c r="T24" s="2">
        <f>MIN(DEGREES(ACOS((-TAN($B2*PI()/180))*TAN(E6*PI()/180))),DEGREES(ACOS((-TAN(($B2-$B33)*PI()/180))*TAN(E6*PI()/180))))</f>
        <v>64.357071680080139</v>
      </c>
      <c r="U24" s="2">
        <f t="shared" ref="U24:AE24" si="44">MIN(DEGREES(ACOS((-TAN($B2*PI()/180))*TAN(F6*PI()/180))),DEGREES(ACOS((-TAN(($B2-$B33)*PI()/180))*TAN(F6*PI()/180))))</f>
        <v>74.902424284262636</v>
      </c>
      <c r="V24" s="2">
        <f t="shared" si="44"/>
        <v>87.259767273219694</v>
      </c>
      <c r="W24" s="2">
        <f t="shared" si="44"/>
        <v>87.012244526748688</v>
      </c>
      <c r="X24" s="2">
        <f t="shared" si="44"/>
        <v>83.859871112590895</v>
      </c>
      <c r="Y24" s="2">
        <f t="shared" si="44"/>
        <v>82.300018422108934</v>
      </c>
      <c r="Z24" s="2">
        <f t="shared" si="44"/>
        <v>83.002767612122298</v>
      </c>
      <c r="AA24" s="2">
        <f t="shared" si="44"/>
        <v>85.687000349302977</v>
      </c>
      <c r="AB24" s="2">
        <f t="shared" si="44"/>
        <v>89.302779458804977</v>
      </c>
      <c r="AC24" s="2">
        <f t="shared" si="44"/>
        <v>78.959709277416707</v>
      </c>
      <c r="AD24" s="2">
        <f t="shared" si="44"/>
        <v>67.174154403625039</v>
      </c>
      <c r="AE24" s="2">
        <f t="shared" si="44"/>
        <v>61.198024919238009</v>
      </c>
    </row>
    <row r="25" spans="1:31" x14ac:dyDescent="0.25">
      <c r="A25" s="4"/>
      <c r="B25">
        <f t="shared" si="24"/>
        <v>42</v>
      </c>
      <c r="D25" t="str">
        <f t="shared" si="19"/>
        <v>RbBar at Beta = 42</v>
      </c>
      <c r="E25" s="2">
        <f>(((COS(($B2-$B25)*PI()/180)*COS(E6*PI()/180)*SIN(T16*PI()/180))+((PI()/180)*T16*SIN(($B2-$B25)*PI()/180)*SIN(E6*PI()/180)))/((COS($B2*PI()/180)*COS(E6*PI()/180)*SIN(E7*PI()/180))+((PI()/180)*E7*SIN($B2*PI()/180)*SIN(E6*PI()/180))))</f>
        <v>3.0788612509243807</v>
      </c>
      <c r="F25" s="2">
        <f t="shared" ref="F25:P25" si="45">(((COS(($B2-$B25)*PI()/180)*COS(F6*PI()/180)*SIN(U16*PI()/180))+((PI()/180)*U16*SIN(($B2-$B25)*PI()/180)*SIN(F6*PI()/180)))/((COS($B2*PI()/180)*COS(F6*PI()/180)*SIN(F7*PI()/180))+((PI()/180)*F7*SIN($B2*PI()/180)*SIN(F6*PI()/180))))</f>
        <v>2.2355369536985132</v>
      </c>
      <c r="G25" s="2">
        <f t="shared" si="45"/>
        <v>1.6068238049999553</v>
      </c>
      <c r="H25" s="2">
        <f t="shared" si="45"/>
        <v>1.1777774972455963</v>
      </c>
      <c r="I25" s="2">
        <f t="shared" si="45"/>
        <v>0.94861694007011321</v>
      </c>
      <c r="J25" s="2">
        <f t="shared" si="45"/>
        <v>0.8619863280612523</v>
      </c>
      <c r="K25" s="2">
        <f t="shared" si="45"/>
        <v>0.8992676564104426</v>
      </c>
      <c r="L25" s="2">
        <f t="shared" si="45"/>
        <v>1.0708895572954917</v>
      </c>
      <c r="M25" s="2">
        <f t="shared" si="45"/>
        <v>1.4126627441666464</v>
      </c>
      <c r="N25" s="2">
        <f t="shared" si="45"/>
        <v>1.9967655447045549</v>
      </c>
      <c r="O25" s="2">
        <f t="shared" si="45"/>
        <v>2.8145600739444991</v>
      </c>
      <c r="P25" s="2">
        <f t="shared" si="45"/>
        <v>3.4195056423651846</v>
      </c>
      <c r="Q25" s="2"/>
      <c r="R25" s="3"/>
      <c r="S25" t="str">
        <f t="shared" si="2"/>
        <v>Beta - 69</v>
      </c>
      <c r="T25" s="2">
        <f>MIN(DEGREES(ACOS((-TAN($B2*PI()/180))*TAN(E6*PI()/180))),DEGREES(ACOS((-TAN(($B2-$B34)*PI()/180))*TAN(E6*PI()/180))))</f>
        <v>64.357071680080139</v>
      </c>
      <c r="U25" s="2">
        <f t="shared" ref="U25:AE25" si="46">MIN(DEGREES(ACOS((-TAN($B2*PI()/180))*TAN(F6*PI()/180))),DEGREES(ACOS((-TAN(($B2-$B34)*PI()/180))*TAN(F6*PI()/180))))</f>
        <v>74.902424284262636</v>
      </c>
      <c r="V25" s="2">
        <f t="shared" si="46"/>
        <v>87.259767273219694</v>
      </c>
      <c r="W25" s="2">
        <f t="shared" si="46"/>
        <v>86.455072774212269</v>
      </c>
      <c r="X25" s="2">
        <f t="shared" si="46"/>
        <v>82.710459459583234</v>
      </c>
      <c r="Y25" s="2">
        <f t="shared" si="46"/>
        <v>80.85445930347214</v>
      </c>
      <c r="Z25" s="2">
        <f t="shared" si="46"/>
        <v>81.69094653187318</v>
      </c>
      <c r="AA25" s="2">
        <f t="shared" si="46"/>
        <v>84.881661887144034</v>
      </c>
      <c r="AB25" s="2">
        <f t="shared" si="46"/>
        <v>89.172902819802644</v>
      </c>
      <c r="AC25" s="2">
        <f t="shared" si="46"/>
        <v>78.959709277416707</v>
      </c>
      <c r="AD25" s="2">
        <f t="shared" si="46"/>
        <v>67.174154403625039</v>
      </c>
      <c r="AE25" s="2">
        <f t="shared" si="46"/>
        <v>61.198024919238009</v>
      </c>
    </row>
    <row r="26" spans="1:31" x14ac:dyDescent="0.25">
      <c r="A26" s="4"/>
      <c r="B26">
        <f t="shared" si="24"/>
        <v>45</v>
      </c>
      <c r="D26" t="str">
        <f t="shared" si="19"/>
        <v>RbBar at Beta = 45</v>
      </c>
      <c r="E26" s="2">
        <f>(((COS(($B2-$B26)*PI()/180)*COS(E6*PI()/180)*SIN(T17*PI()/180))+((PI()/180)*T17*SIN(($B2-$B26)*PI()/180)*SIN(E6*PI()/180)))/((COS($B2*PI()/180)*COS(E6*PI()/180)*SIN(E7*PI()/180))+((PI()/180)*E7*SIN($B2*PI()/180)*SIN(E6*PI()/180))))</f>
        <v>3.1753856308863404</v>
      </c>
      <c r="F26" s="2">
        <f t="shared" ref="F26:P26" si="47">(((COS(($B2-$B26)*PI()/180)*COS(F6*PI()/180)*SIN(U17*PI()/180))+((PI()/180)*U17*SIN(($B2-$B26)*PI()/180)*SIN(F6*PI()/180)))/((COS($B2*PI()/180)*COS(F6*PI()/180)*SIN(F7*PI()/180))+((PI()/180)*F7*SIN($B2*PI()/180)*SIN(F6*PI()/180))))</f>
        <v>2.2841988825283059</v>
      </c>
      <c r="G26" s="2">
        <f t="shared" si="47"/>
        <v>1.619803431713323</v>
      </c>
      <c r="H26" s="2">
        <f t="shared" si="47"/>
        <v>1.1673019648558023</v>
      </c>
      <c r="I26" s="2">
        <f t="shared" si="47"/>
        <v>0.92721933453139782</v>
      </c>
      <c r="J26" s="2">
        <f t="shared" si="47"/>
        <v>0.83691650735801482</v>
      </c>
      <c r="K26" s="2">
        <f t="shared" si="47"/>
        <v>0.8757408307609893</v>
      </c>
      <c r="L26" s="2">
        <f t="shared" si="47"/>
        <v>1.0551315285024168</v>
      </c>
      <c r="M26" s="2">
        <f t="shared" si="47"/>
        <v>1.4146825202760878</v>
      </c>
      <c r="N26" s="2">
        <f t="shared" si="47"/>
        <v>2.0318761209499092</v>
      </c>
      <c r="O26" s="2">
        <f t="shared" si="47"/>
        <v>2.8960841720350761</v>
      </c>
      <c r="P26" s="2">
        <f t="shared" si="47"/>
        <v>3.5353631253723363</v>
      </c>
      <c r="Q26" s="2"/>
      <c r="R26" s="3"/>
      <c r="S26" t="str">
        <f t="shared" si="2"/>
        <v>Beta - 72</v>
      </c>
      <c r="T26" s="2">
        <f>MIN(DEGREES(ACOS((-TAN($B2*PI()/180))*TAN(E6*PI()/180))),DEGREES(ACOS((-TAN(($B2-$B35)*PI()/180))*TAN(E6*PI()/180))))</f>
        <v>64.357071680080139</v>
      </c>
      <c r="U26" s="2">
        <f t="shared" ref="U26:AE26" si="48">MIN(DEGREES(ACOS((-TAN($B2*PI()/180))*TAN(F6*PI()/180))),DEGREES(ACOS((-TAN(($B2-$B35)*PI()/180))*TAN(F6*PI()/180))))</f>
        <v>74.902424284262636</v>
      </c>
      <c r="V26" s="2">
        <f t="shared" si="48"/>
        <v>87.259767273219694</v>
      </c>
      <c r="W26" s="2">
        <f t="shared" si="48"/>
        <v>85.875333095452532</v>
      </c>
      <c r="X26" s="2">
        <f t="shared" si="48"/>
        <v>81.512084181152119</v>
      </c>
      <c r="Y26" s="2">
        <f t="shared" si="48"/>
        <v>79.345006256559003</v>
      </c>
      <c r="Z26" s="2">
        <f t="shared" si="48"/>
        <v>80.322152002308371</v>
      </c>
      <c r="AA26" s="2">
        <f t="shared" si="48"/>
        <v>84.043140528292668</v>
      </c>
      <c r="AB26" s="2">
        <f t="shared" si="48"/>
        <v>89.037844294786794</v>
      </c>
      <c r="AC26" s="2">
        <f t="shared" si="48"/>
        <v>78.959709277416707</v>
      </c>
      <c r="AD26" s="2">
        <f t="shared" si="48"/>
        <v>67.174154403625039</v>
      </c>
      <c r="AE26" s="2">
        <f t="shared" si="48"/>
        <v>61.198024919238009</v>
      </c>
    </row>
    <row r="27" spans="1:31" x14ac:dyDescent="0.25">
      <c r="A27" s="4"/>
      <c r="B27">
        <f t="shared" si="24"/>
        <v>48</v>
      </c>
      <c r="D27" t="str">
        <f t="shared" si="19"/>
        <v>RbBar at Beta = 48</v>
      </c>
      <c r="E27" s="2">
        <f>(((COS(($B2-$B27)*PI()/180)*COS(E6*PI()/180)*SIN(T18*PI()/180))+((PI()/180)*T18*SIN(($B2-$B27)*PI()/180)*SIN(E6*PI()/180)))/((COS($B2*PI()/180)*COS(E6*PI()/180)*SIN(E7*PI()/180))+((PI()/180)*E7*SIN($B2*PI()/180)*SIN(E6*PI()/180))))</f>
        <v>3.2632064995523886</v>
      </c>
      <c r="F27" s="2">
        <f t="shared" ref="F27:P27" si="49">(((COS(($B2-$B27)*PI()/180)*COS(F6*PI()/180)*SIN(U18*PI()/180))+((PI()/180)*U18*SIN(($B2-$B27)*PI()/180)*SIN(F6*PI()/180)))/((COS($B2*PI()/180)*COS(F6*PI()/180)*SIN(F7*PI()/180))+((PI()/180)*F7*SIN($B2*PI()/180)*SIN(F6*PI()/180))))</f>
        <v>2.3265999809938065</v>
      </c>
      <c r="G27" s="2">
        <f t="shared" si="49"/>
        <v>1.6283432898115207</v>
      </c>
      <c r="H27" s="2">
        <f t="shared" si="49"/>
        <v>1.1537142390367419</v>
      </c>
      <c r="I27" s="2">
        <f t="shared" si="49"/>
        <v>0.90356750588042045</v>
      </c>
      <c r="J27" s="2">
        <f t="shared" si="49"/>
        <v>0.80995629883920717</v>
      </c>
      <c r="K27" s="2">
        <f t="shared" si="49"/>
        <v>0.85016399423112876</v>
      </c>
      <c r="L27" s="2">
        <f t="shared" si="49"/>
        <v>1.0366445884775324</v>
      </c>
      <c r="M27" s="2">
        <f t="shared" si="49"/>
        <v>1.4128305875580778</v>
      </c>
      <c r="N27" s="2">
        <f t="shared" si="49"/>
        <v>2.0614174659817168</v>
      </c>
      <c r="O27" s="2">
        <f t="shared" si="49"/>
        <v>2.9696703047144468</v>
      </c>
      <c r="P27" s="2">
        <f t="shared" si="49"/>
        <v>3.6415304237929198</v>
      </c>
      <c r="Q27" s="2"/>
      <c r="R27" s="3"/>
      <c r="S27" t="str">
        <f t="shared" si="2"/>
        <v>Beta - 75</v>
      </c>
      <c r="T27" s="2">
        <f>MIN(DEGREES(ACOS((-TAN($B2*PI()/180))*TAN(E6*PI()/180))),DEGREES(ACOS((-TAN(($B2-$B36)*PI()/180))*TAN(E6*PI()/180))))</f>
        <v>64.357071680080139</v>
      </c>
      <c r="U27" s="2">
        <f t="shared" ref="U27:AE27" si="50">MIN(DEGREES(ACOS((-TAN($B2*PI()/180))*TAN(F6*PI()/180))),DEGREES(ACOS((-TAN(($B2-$B36)*PI()/180))*TAN(F6*PI()/180))))</f>
        <v>74.902424284262636</v>
      </c>
      <c r="V27" s="2">
        <f t="shared" si="50"/>
        <v>87.259767273219694</v>
      </c>
      <c r="W27" s="2">
        <f t="shared" si="50"/>
        <v>85.268167243180073</v>
      </c>
      <c r="X27" s="2">
        <f t="shared" si="50"/>
        <v>80.253927336284434</v>
      </c>
      <c r="Y27" s="2">
        <f t="shared" si="50"/>
        <v>77.757253603631725</v>
      </c>
      <c r="Z27" s="2">
        <f t="shared" si="50"/>
        <v>78.883663618416705</v>
      </c>
      <c r="AA27" s="2">
        <f t="shared" si="50"/>
        <v>83.164231250860709</v>
      </c>
      <c r="AB27" s="2">
        <f t="shared" si="50"/>
        <v>88.896496565868233</v>
      </c>
      <c r="AC27" s="2">
        <f t="shared" si="50"/>
        <v>78.959709277416707</v>
      </c>
      <c r="AD27" s="2">
        <f t="shared" si="50"/>
        <v>67.174154403625039</v>
      </c>
      <c r="AE27" s="2">
        <f t="shared" si="50"/>
        <v>61.198024919238009</v>
      </c>
    </row>
    <row r="28" spans="1:31" x14ac:dyDescent="0.25">
      <c r="A28" s="4"/>
      <c r="B28">
        <f t="shared" si="24"/>
        <v>51</v>
      </c>
      <c r="D28" t="str">
        <f t="shared" si="19"/>
        <v>RbBar at Beta = 51</v>
      </c>
      <c r="E28" s="2">
        <f>(((COS(($B2-$B28)*PI()/180)*COS(E6*PI()/180)*SIN(T19*PI()/180))+((PI()/180)*T19*SIN(($B2-$B28)*PI()/180)*SIN(E6*PI()/180)))/((COS($B2*PI()/180)*COS(E6*PI()/180)*SIN(E7*PI()/180))+((PI()/180)*E7*SIN($B2*PI()/180)*SIN(E6*PI()/180))))</f>
        <v>3.342083146025868</v>
      </c>
      <c r="F28" s="2">
        <f t="shared" ref="F28:P28" si="51">(((COS(($B2-$B28)*PI()/180)*COS(F6*PI()/180)*SIN(U19*PI()/180))+((PI()/180)*U19*SIN(($B2-$B28)*PI()/180)*SIN(F6*PI()/180)))/((COS($B2*PI()/180)*COS(F6*PI()/180)*SIN(F7*PI()/180))+((PI()/180)*F7*SIN($B2*PI()/180)*SIN(F6*PI()/180))))</f>
        <v>2.3626240306313844</v>
      </c>
      <c r="G28" s="2">
        <f t="shared" si="51"/>
        <v>1.6324199721370993</v>
      </c>
      <c r="H28" s="2">
        <f t="shared" si="51"/>
        <v>1.1370510678133312</v>
      </c>
      <c r="I28" s="2">
        <f t="shared" si="51"/>
        <v>0.87772460600852686</v>
      </c>
      <c r="J28" s="2">
        <f t="shared" si="51"/>
        <v>0.78117719367797722</v>
      </c>
      <c r="K28" s="2">
        <f t="shared" si="51"/>
        <v>0.82260518408053007</v>
      </c>
      <c r="L28" s="2">
        <f t="shared" si="51"/>
        <v>1.0154784745877945</v>
      </c>
      <c r="M28" s="2">
        <f t="shared" si="51"/>
        <v>1.4071119892172053</v>
      </c>
      <c r="N28" s="2">
        <f t="shared" si="51"/>
        <v>2.0853086090266397</v>
      </c>
      <c r="O28" s="2">
        <f t="shared" si="51"/>
        <v>3.0351167775078478</v>
      </c>
      <c r="P28" s="2">
        <f t="shared" si="51"/>
        <v>3.7377165404415638</v>
      </c>
      <c r="Q28" s="2"/>
      <c r="R28" s="3"/>
      <c r="S28" t="str">
        <f>$A$12&amp;TEXT(B37," - ")&amp;B37</f>
        <v>Beta - 78</v>
      </c>
      <c r="T28" s="2">
        <f>MIN(DEGREES(ACOS((-TAN($B2*PI()/180))*TAN(E6*PI()/180))),DEGREES(ACOS((-TAN(($B2-$B37)*PI()/180))*TAN(E6*PI()/180))))</f>
        <v>64.357071680080139</v>
      </c>
      <c r="U28" s="2">
        <f t="shared" ref="U28:AE28" si="52">MIN(DEGREES(ACOS((-TAN($B2*PI()/180))*TAN(F6*PI()/180))),DEGREES(ACOS((-TAN(($B2-$B37)*PI()/180))*TAN(F6*PI()/180))))</f>
        <v>74.902424284262636</v>
      </c>
      <c r="V28" s="2">
        <f t="shared" si="52"/>
        <v>87.259767273219694</v>
      </c>
      <c r="W28" s="2">
        <f t="shared" si="52"/>
        <v>84.627915186307817</v>
      </c>
      <c r="X28" s="2">
        <f t="shared" si="52"/>
        <v>78.923240903761751</v>
      </c>
      <c r="Y28" s="2">
        <f t="shared" si="52"/>
        <v>76.074069994471429</v>
      </c>
      <c r="Z28" s="2">
        <f t="shared" si="52"/>
        <v>77.360420879422961</v>
      </c>
      <c r="AA28" s="2">
        <f t="shared" si="52"/>
        <v>82.236508465526185</v>
      </c>
      <c r="AB28" s="2">
        <f t="shared" si="52"/>
        <v>88.747573669990373</v>
      </c>
      <c r="AC28" s="2">
        <f t="shared" si="52"/>
        <v>78.959709277416707</v>
      </c>
      <c r="AD28" s="2">
        <f t="shared" si="52"/>
        <v>67.174154403625039</v>
      </c>
      <c r="AE28" s="2">
        <f t="shared" si="52"/>
        <v>61.198024919238009</v>
      </c>
    </row>
    <row r="29" spans="1:31" x14ac:dyDescent="0.25">
      <c r="A29" s="4"/>
      <c r="B29">
        <f t="shared" si="24"/>
        <v>54</v>
      </c>
      <c r="D29" t="str">
        <f t="shared" si="19"/>
        <v>RbBar at Beta = 54</v>
      </c>
      <c r="E29" s="2">
        <f>(((COS(($B2-$B29)*PI()/180)*COS(E6*PI()/180)*SIN(T20*PI()/180))+((PI()/180)*T20*SIN(($B2-$B29)*PI()/180)*SIN(E6*PI()/180)))/((COS($B2*PI()/180)*COS(E6*PI()/180)*SIN(E7*PI()/180))+((PI()/180)*E7*SIN($B2*PI()/180)*SIN(E6*PI()/180))))</f>
        <v>3.4117993749014404</v>
      </c>
      <c r="F29" s="2">
        <f t="shared" ref="F29:P29" si="53">(((COS(($B2-$B29)*PI()/180)*COS(F6*PI()/180)*SIN(U20*PI()/180))+((PI()/180)*U20*SIN(($B2-$B29)*PI()/180)*SIN(F6*PI()/180)))/((COS($B2*PI()/180)*COS(F6*PI()/180)*SIN(F7*PI()/180))+((PI()/180)*F7*SIN($B2*PI()/180)*SIN(F6*PI()/180))))</f>
        <v>2.392172292024985</v>
      </c>
      <c r="G29" s="2">
        <f t="shared" si="53"/>
        <v>1.6320223047871711</v>
      </c>
      <c r="H29" s="2">
        <f t="shared" si="53"/>
        <v>1.1173583527344857</v>
      </c>
      <c r="I29" s="2">
        <f t="shared" si="53"/>
        <v>0.84976224373546261</v>
      </c>
      <c r="J29" s="2">
        <f t="shared" si="53"/>
        <v>0.75065918562040401</v>
      </c>
      <c r="K29" s="2">
        <f t="shared" si="53"/>
        <v>0.79314089310618596</v>
      </c>
      <c r="L29" s="2">
        <f t="shared" si="53"/>
        <v>0.99169163371141511</v>
      </c>
      <c r="M29" s="2">
        <f t="shared" si="53"/>
        <v>1.3975424147125068</v>
      </c>
      <c r="N29" s="2">
        <f t="shared" si="53"/>
        <v>2.1034840661222449</v>
      </c>
      <c r="O29" s="2">
        <f t="shared" si="53"/>
        <v>3.0922442061824804</v>
      </c>
      <c r="P29" s="2">
        <f t="shared" si="53"/>
        <v>3.8236578358583482</v>
      </c>
      <c r="Q29" s="2"/>
      <c r="R29" s="3"/>
      <c r="S29" t="str">
        <f t="shared" si="2"/>
        <v>Beta - 81</v>
      </c>
      <c r="T29" s="2">
        <f>MIN(DEGREES(ACOS((-TAN($B2*PI()/180))*TAN(E6*PI()/180))),DEGREES(ACOS((-TAN(($B2-$B38)*PI()/180))*TAN(E6*PI()/180))))</f>
        <v>64.357071680080139</v>
      </c>
      <c r="U29" s="2">
        <f t="shared" ref="U29:AE29" si="54">MIN(DEGREES(ACOS((-TAN($B2*PI()/180))*TAN(F6*PI()/180))),DEGREES(ACOS((-TAN(($B2-$B38)*PI()/180))*TAN(F6*PI()/180))))</f>
        <v>74.902424284262636</v>
      </c>
      <c r="V29" s="2">
        <f t="shared" si="54"/>
        <v>87.259767273219694</v>
      </c>
      <c r="W29" s="2">
        <f t="shared" si="54"/>
        <v>83.947878685166998</v>
      </c>
      <c r="X29" s="2">
        <f t="shared" si="54"/>
        <v>77.504736704346328</v>
      </c>
      <c r="Y29" s="2">
        <f t="shared" si="54"/>
        <v>74.274688234193121</v>
      </c>
      <c r="Z29" s="2">
        <f t="shared" si="54"/>
        <v>75.734262212605898</v>
      </c>
      <c r="AA29" s="2">
        <f t="shared" si="54"/>
        <v>81.249957800039951</v>
      </c>
      <c r="AB29" s="2">
        <f t="shared" si="54"/>
        <v>88.58955933144081</v>
      </c>
      <c r="AC29" s="2">
        <f t="shared" si="54"/>
        <v>78.959709277416707</v>
      </c>
      <c r="AD29" s="2">
        <f t="shared" si="54"/>
        <v>67.174154403625039</v>
      </c>
      <c r="AE29" s="2">
        <f t="shared" si="54"/>
        <v>61.198024919238009</v>
      </c>
    </row>
    <row r="30" spans="1:31" x14ac:dyDescent="0.25">
      <c r="A30" s="4"/>
      <c r="B30">
        <f t="shared" si="24"/>
        <v>57</v>
      </c>
      <c r="D30" t="str">
        <f t="shared" si="19"/>
        <v>RbBar at Beta = 57</v>
      </c>
      <c r="E30" s="2">
        <f>(((COS(($B2-$B30)*PI()/180)*COS(E6*PI()/180)*SIN(T21*PI()/180))+((PI()/180)*T21*SIN(($B2-$B30)*PI()/180)*SIN(E6*PI()/180)))/((COS($B2*PI()/180)*COS(E6*PI()/180)*SIN(E7*PI()/180))+((PI()/180)*E7*SIN($B2*PI()/180)*SIN(E6*PI()/180))))</f>
        <v>3.4721640988416747</v>
      </c>
      <c r="F30" s="2">
        <f t="shared" ref="F30:P30" si="55">(((COS(($B2-$B30)*PI()/180)*COS(F6*PI()/180)*SIN(U21*PI()/180))+((PI()/180)*U21*SIN(($B2-$B30)*PI()/180)*SIN(F6*PI()/180)))/((COS($B2*PI()/180)*COS(F6*PI()/180)*SIN(F7*PI()/180))+((PI()/180)*F7*SIN($B2*PI()/180)*SIN(F6*PI()/180))))</f>
        <v>2.4151637754440016</v>
      </c>
      <c r="G30" s="2">
        <f t="shared" si="55"/>
        <v>1.6271513777403006</v>
      </c>
      <c r="H30" s="2">
        <f t="shared" si="55"/>
        <v>1.0946910301181072</v>
      </c>
      <c r="I30" s="2">
        <f t="shared" si="55"/>
        <v>0.81976031342865618</v>
      </c>
      <c r="J30" s="2">
        <f t="shared" si="55"/>
        <v>0.71849058855065673</v>
      </c>
      <c r="K30" s="2">
        <f t="shared" si="55"/>
        <v>0.76185589117370567</v>
      </c>
      <c r="L30" s="2">
        <f t="shared" si="55"/>
        <v>0.96535107554146826</v>
      </c>
      <c r="M30" s="2">
        <f t="shared" si="55"/>
        <v>1.3841481572160801</v>
      </c>
      <c r="N30" s="2">
        <f t="shared" si="55"/>
        <v>2.1158940196039939</v>
      </c>
      <c r="O30" s="2">
        <f t="shared" si="55"/>
        <v>3.1408960084272257</v>
      </c>
      <c r="P30" s="2">
        <f t="shared" si="55"/>
        <v>3.8991187509262422</v>
      </c>
      <c r="Q30" s="2"/>
      <c r="R30" s="3"/>
      <c r="S30" t="str">
        <f t="shared" si="2"/>
        <v>Beta - 84</v>
      </c>
      <c r="T30" s="2">
        <f>MIN(DEGREES(ACOS((-TAN($B2*PI()/180))*TAN(E6*PI()/180))),DEGREES(ACOS((-TAN(($B2-$B39)*PI()/180))*TAN(E6*PI()/180))))</f>
        <v>64.357071680080139</v>
      </c>
      <c r="U30" s="2">
        <f t="shared" ref="U30:AE30" si="56">MIN(DEGREES(ACOS((-TAN($B2*PI()/180))*TAN(F6*PI()/180))),DEGREES(ACOS((-TAN(($B2-$B39)*PI()/180))*TAN(F6*PI()/180))))</f>
        <v>74.902424284262636</v>
      </c>
      <c r="V30" s="2">
        <f t="shared" si="56"/>
        <v>87.259767273219694</v>
      </c>
      <c r="W30" s="2">
        <f t="shared" si="56"/>
        <v>83.220007838820706</v>
      </c>
      <c r="X30" s="2">
        <f t="shared" si="56"/>
        <v>75.979753805401742</v>
      </c>
      <c r="Y30" s="2">
        <f t="shared" si="56"/>
        <v>72.333433046349043</v>
      </c>
      <c r="Z30" s="2">
        <f t="shared" si="56"/>
        <v>73.982873623545316</v>
      </c>
      <c r="AA30" s="2">
        <f t="shared" si="56"/>
        <v>80.192483346436219</v>
      </c>
      <c r="AB30" s="2">
        <f t="shared" si="56"/>
        <v>88.420638990719965</v>
      </c>
      <c r="AC30" s="2">
        <f t="shared" si="56"/>
        <v>78.959709277416707</v>
      </c>
      <c r="AD30" s="2">
        <f t="shared" si="56"/>
        <v>67.174154403625039</v>
      </c>
      <c r="AE30" s="2">
        <f t="shared" si="56"/>
        <v>61.198024919238009</v>
      </c>
    </row>
    <row r="31" spans="1:31" x14ac:dyDescent="0.25">
      <c r="A31" s="4"/>
      <c r="B31">
        <f t="shared" si="24"/>
        <v>60</v>
      </c>
      <c r="D31" t="str">
        <f t="shared" si="19"/>
        <v>RbBar at Beta = 60</v>
      </c>
      <c r="E31" s="2">
        <f>(((COS(($B2-$B31)*PI()/180)*COS(E6*PI()/180)*SIN(T22*PI()/180))+((PI()/180)*T22*SIN(($B2-$B31)*PI()/180)*SIN(E6*PI()/180)))/((COS($B2*PI()/180)*COS(E6*PI()/180)*SIN(E7*PI()/180))+((PI()/180)*E7*SIN($B2*PI()/180)*SIN(E6*PI()/180))))</f>
        <v>3.523011862334152</v>
      </c>
      <c r="F31" s="2">
        <f t="shared" ref="F31:P31" si="57">(((COS(($B2-$B31)*PI()/180)*COS(F6*PI()/180)*SIN(U22*PI()/180))+((PI()/180)*U22*SIN(($B2-$B31)*PI()/180)*SIN(F6*PI()/180)))/((COS($B2*PI()/180)*COS(F6*PI()/180)*SIN(F7*PI()/180))+((PI()/180)*F7*SIN($B2*PI()/180)*SIN(F6*PI()/180))))</f>
        <v>2.431535462830503</v>
      </c>
      <c r="G31" s="2">
        <f t="shared" si="57"/>
        <v>1.6178205418689497</v>
      </c>
      <c r="H31" s="2">
        <f t="shared" si="57"/>
        <v>1.0691129503164087</v>
      </c>
      <c r="I31" s="2">
        <f t="shared" si="57"/>
        <v>0.78780688137179078</v>
      </c>
      <c r="J31" s="2">
        <f t="shared" si="57"/>
        <v>0.68476795038024252</v>
      </c>
      <c r="K31" s="2">
        <f t="shared" si="57"/>
        <v>0.7288431249295263</v>
      </c>
      <c r="L31" s="2">
        <f t="shared" si="57"/>
        <v>0.93653224602449525</v>
      </c>
      <c r="M31" s="2">
        <f t="shared" si="57"/>
        <v>1.3669660434996089</v>
      </c>
      <c r="N31" s="2">
        <f t="shared" si="57"/>
        <v>2.1225044546519984</v>
      </c>
      <c r="O31" s="2">
        <f t="shared" si="57"/>
        <v>3.1809388330338768</v>
      </c>
      <c r="P31" s="2">
        <f t="shared" si="57"/>
        <v>3.9638924525222694</v>
      </c>
      <c r="Q31" s="2"/>
      <c r="R31" s="3"/>
      <c r="S31" t="str">
        <f t="shared" si="2"/>
        <v>Beta - 87</v>
      </c>
      <c r="T31" s="2">
        <f>MIN(DEGREES(ACOS((-TAN($B2*PI()/180))*TAN(E6*PI()/180))),DEGREES(ACOS((-TAN(($B2-$B40)*PI()/180))*TAN(E6*PI()/180))))</f>
        <v>64.357071680080139</v>
      </c>
      <c r="U31" s="2">
        <f t="shared" ref="U31:AE31" si="58">MIN(DEGREES(ACOS((-TAN($B2*PI()/180))*TAN(F6*PI()/180))),DEGREES(ACOS((-TAN(($B2-$B40)*PI()/180))*TAN(F6*PI()/180))))</f>
        <v>74.902424284262636</v>
      </c>
      <c r="V31" s="2">
        <f t="shared" si="58"/>
        <v>87.259767273219694</v>
      </c>
      <c r="W31" s="2">
        <f t="shared" si="58"/>
        <v>82.434477383439273</v>
      </c>
      <c r="X31" s="2">
        <f t="shared" si="58"/>
        <v>74.325094367875536</v>
      </c>
      <c r="Y31" s="2">
        <f t="shared" si="58"/>
        <v>70.217890729955172</v>
      </c>
      <c r="Z31" s="2">
        <f t="shared" si="58"/>
        <v>72.078297111403486</v>
      </c>
      <c r="AA31" s="2">
        <f t="shared" si="58"/>
        <v>79.049234363473118</v>
      </c>
      <c r="AB31" s="2">
        <f t="shared" si="58"/>
        <v>88.238608741809088</v>
      </c>
      <c r="AC31" s="2">
        <f t="shared" si="58"/>
        <v>78.959709277416707</v>
      </c>
      <c r="AD31" s="2">
        <f t="shared" si="58"/>
        <v>67.174154403625039</v>
      </c>
      <c r="AE31" s="2">
        <f t="shared" si="58"/>
        <v>61.198024919238009</v>
      </c>
    </row>
    <row r="32" spans="1:31" x14ac:dyDescent="0.25">
      <c r="A32" s="4"/>
      <c r="B32">
        <f t="shared" si="24"/>
        <v>63</v>
      </c>
      <c r="D32" t="str">
        <f t="shared" si="19"/>
        <v>RbBar at Beta = 63</v>
      </c>
      <c r="E32" s="2">
        <f>(((COS(($B2-$B32)*PI()/180)*COS(E6*PI()/180)*SIN(T23*PI()/180))+((PI()/180)*T23*SIN(($B2-$B32)*PI()/180)*SIN(E6*PI()/180)))/((COS($B2*PI()/180)*COS(E6*PI()/180)*SIN(E7*PI()/180))+((PI()/180)*E7*SIN($B2*PI()/180)*SIN(E6*PI()/180))))</f>
        <v>3.564203295193523</v>
      </c>
      <c r="F32" s="2">
        <f t="shared" ref="F32:P32" si="59">(((COS(($B2-$B32)*PI()/180)*COS(F6*PI()/180)*SIN(U23*PI()/180))+((PI()/180)*U23*SIN(($B2-$B32)*PI()/180)*SIN(F6*PI()/180)))/((COS($B2*PI()/180)*COS(F6*PI()/180)*SIN(F7*PI()/180))+((PI()/180)*F7*SIN($B2*PI()/180)*SIN(F6*PI()/180))))</f>
        <v>2.4412424805273432</v>
      </c>
      <c r="G32" s="2">
        <f t="shared" si="59"/>
        <v>1.604055372345663</v>
      </c>
      <c r="H32" s="2">
        <f t="shared" si="59"/>
        <v>1.0406967572063921</v>
      </c>
      <c r="I32" s="2">
        <f t="shared" si="59"/>
        <v>0.75399813718767528</v>
      </c>
      <c r="J32" s="2">
        <f t="shared" si="59"/>
        <v>0.64959607430051525</v>
      </c>
      <c r="K32" s="2">
        <f t="shared" si="59"/>
        <v>0.69420370493176586</v>
      </c>
      <c r="L32" s="2">
        <f t="shared" si="59"/>
        <v>0.90531892493387822</v>
      </c>
      <c r="M32" s="2">
        <f t="shared" si="59"/>
        <v>1.3460433365617617</v>
      </c>
      <c r="N32" s="2">
        <f t="shared" si="59"/>
        <v>2.1232972525232774</v>
      </c>
      <c r="O32" s="2">
        <f t="shared" si="59"/>
        <v>3.2122629254035302</v>
      </c>
      <c r="P32" s="2">
        <f t="shared" si="59"/>
        <v>4.0178014004327185</v>
      </c>
      <c r="Q32" s="2"/>
      <c r="R32" s="3"/>
      <c r="S32" t="str">
        <f>$A$12&amp;TEXT(B41," - ")&amp;B41</f>
        <v>Beta - 90</v>
      </c>
      <c r="T32" s="2">
        <f>MIN(DEGREES(ACOS((-TAN($B2*PI()/180))*TAN(E6*PI()/180))),DEGREES(ACOS((-TAN(($B2-$B41)*PI()/180))*TAN(E6*PI()/180))))</f>
        <v>64.357071680080139</v>
      </c>
      <c r="U32" s="2">
        <f t="shared" ref="U32:AE32" si="60">MIN(DEGREES(ACOS((-TAN($B2*PI()/180))*TAN(F6*PI()/180))),DEGREES(ACOS((-TAN(($B2-$B41)*PI()/180))*TAN(F6*PI()/180))))</f>
        <v>74.902424284262636</v>
      </c>
      <c r="V32" s="2">
        <f t="shared" si="60"/>
        <v>87.259767273219694</v>
      </c>
      <c r="W32" s="2">
        <f t="shared" si="60"/>
        <v>81.579102409412926</v>
      </c>
      <c r="X32" s="2">
        <f t="shared" si="60"/>
        <v>72.511352571559854</v>
      </c>
      <c r="Y32" s="2">
        <f t="shared" si="60"/>
        <v>67.886189265047051</v>
      </c>
      <c r="Z32" s="2">
        <f t="shared" si="60"/>
        <v>69.984751579933629</v>
      </c>
      <c r="AA32" s="2">
        <f t="shared" si="60"/>
        <v>77.801664952209535</v>
      </c>
      <c r="AB32" s="2">
        <f t="shared" si="60"/>
        <v>88.040751051581978</v>
      </c>
      <c r="AC32" s="2">
        <f t="shared" si="60"/>
        <v>78.959709277416707</v>
      </c>
      <c r="AD32" s="2">
        <f t="shared" si="60"/>
        <v>67.174154403625039</v>
      </c>
      <c r="AE32" s="2">
        <f t="shared" si="60"/>
        <v>61.198024919238009</v>
      </c>
    </row>
    <row r="33" spans="1:18" x14ac:dyDescent="0.25">
      <c r="A33" s="4"/>
      <c r="B33">
        <f t="shared" si="24"/>
        <v>66</v>
      </c>
      <c r="D33" t="str">
        <f t="shared" si="19"/>
        <v>RbBar at Beta = 66</v>
      </c>
      <c r="E33" s="2">
        <f>(((COS(($B2-$B33)*PI()/180)*COS(E6*PI()/180)*SIN(T24*PI()/180))+((PI()/180)*T24*SIN(($B2-$B33)*PI()/180)*SIN(E6*PI()/180)))/((COS($B2*PI()/180)*COS(E6*PI()/180)*SIN(E7*PI()/180))+((PI()/180)*E7*SIN($B2*PI()/180)*SIN(E6*PI()/180))))</f>
        <v>3.5956254945655028</v>
      </c>
      <c r="F33" s="2">
        <f t="shared" ref="F33:P33" si="61">(((COS(($B2-$B33)*PI()/180)*COS(F6*PI()/180)*SIN(U24*PI()/180))+((PI()/180)*U24*SIN(($B2-$B33)*PI()/180)*SIN(F6*PI()/180)))/((COS($B2*PI()/180)*COS(F6*PI()/180)*SIN(F7*PI()/180))+((PI()/180)*F7*SIN($B2*PI()/180)*SIN(F6*PI()/180))))</f>
        <v>2.4442582222737421</v>
      </c>
      <c r="G33" s="2">
        <f t="shared" si="61"/>
        <v>1.5858935985432989</v>
      </c>
      <c r="H33" s="2">
        <f t="shared" si="61"/>
        <v>1.009523771741248</v>
      </c>
      <c r="I33" s="2">
        <f t="shared" si="61"/>
        <v>0.71843842358884558</v>
      </c>
      <c r="J33" s="2">
        <f t="shared" si="61"/>
        <v>0.61308816771253538</v>
      </c>
      <c r="K33" s="2">
        <f t="shared" si="61"/>
        <v>0.65804699710686598</v>
      </c>
      <c r="L33" s="2">
        <f t="shared" si="61"/>
        <v>0.87180315470178305</v>
      </c>
      <c r="M33" s="2">
        <f t="shared" si="61"/>
        <v>1.3214376114890274</v>
      </c>
      <c r="N33" s="2">
        <f t="shared" si="61"/>
        <v>2.1182702402139726</v>
      </c>
      <c r="O33" s="2">
        <f t="shared" si="61"/>
        <v>3.23478242837631</v>
      </c>
      <c r="P33" s="2">
        <f t="shared" si="61"/>
        <v>4.0606978339785336</v>
      </c>
      <c r="Q33" s="2"/>
      <c r="R33" s="2"/>
    </row>
    <row r="34" spans="1:18" x14ac:dyDescent="0.25">
      <c r="A34" s="4"/>
      <c r="B34">
        <f t="shared" si="24"/>
        <v>69</v>
      </c>
      <c r="D34" t="str">
        <f t="shared" si="19"/>
        <v>RbBar at Beta = 69</v>
      </c>
      <c r="E34" s="2">
        <f>(((COS(($B2-$B34)*PI()/180)*COS(E6*PI()/180)*SIN(T25*PI()/180))+((PI()/180)*T25*SIN(($B2-$B34)*PI()/180)*SIN(E6*PI()/180)))/((COS($B2*PI()/180)*COS(E6*PI()/180)*SIN(E7*PI()/180))+((PI()/180)*E7*SIN($B2*PI()/180)*SIN(E6*PI()/180))))</f>
        <v>3.6171923343857411</v>
      </c>
      <c r="F34" s="2">
        <f t="shared" ref="F34:P34" si="62">(((COS(($B2-$B34)*PI()/180)*COS(F6*PI()/180)*SIN(U25*PI()/180))+((PI()/180)*U25*SIN(($B2-$B34)*PI()/180)*SIN(F6*PI()/180)))/((COS($B2*PI()/180)*COS(F6*PI()/180)*SIN(F7*PI()/180))+((PI()/180)*F7*SIN($B2*PI()/180)*SIN(F6*PI()/180))))</f>
        <v>2.4405744221311947</v>
      </c>
      <c r="G34" s="2">
        <f t="shared" si="62"/>
        <v>1.5633850006214398</v>
      </c>
      <c r="H34" s="2">
        <f t="shared" si="62"/>
        <v>0.97568388539670781</v>
      </c>
      <c r="I34" s="2">
        <f t="shared" si="62"/>
        <v>0.68124036518828923</v>
      </c>
      <c r="J34" s="2">
        <f t="shared" si="62"/>
        <v>0.57536615087956833</v>
      </c>
      <c r="K34" s="2">
        <f t="shared" si="62"/>
        <v>0.62049084508391583</v>
      </c>
      <c r="L34" s="2">
        <f t="shared" si="62"/>
        <v>0.83608521149391057</v>
      </c>
      <c r="M34" s="2">
        <f t="shared" si="62"/>
        <v>1.2932166052446363</v>
      </c>
      <c r="N34" s="2">
        <f t="shared" si="62"/>
        <v>2.1074371964154004</v>
      </c>
      <c r="O34" s="2">
        <f t="shared" si="62"/>
        <v>3.2484356175598799</v>
      </c>
      <c r="P34" s="2">
        <f t="shared" si="62"/>
        <v>4.0924641770170584</v>
      </c>
      <c r="Q34" s="2"/>
      <c r="R34" s="2"/>
    </row>
    <row r="35" spans="1:18" x14ac:dyDescent="0.25">
      <c r="A35" s="4"/>
      <c r="B35">
        <f t="shared" si="24"/>
        <v>72</v>
      </c>
      <c r="D35" t="str">
        <f t="shared" si="19"/>
        <v>RbBar at Beta = 72</v>
      </c>
      <c r="E35" s="2">
        <f>(((COS(($B2-$B35)*PI()/180)*COS(E6*PI()/180)*SIN(T26*PI()/180))+((PI()/180)*T26*SIN(($B2-$B35)*PI()/180)*SIN(E6*PI()/180)))/((COS($B2*PI()/180)*COS(E6*PI()/180)*SIN(E7*PI()/180))+((PI()/180)*E7*SIN($B2*PI()/180)*SIN(E6*PI()/180))))</f>
        <v>3.6288447014453853</v>
      </c>
      <c r="F35" s="2">
        <f t="shared" ref="F35:P35" si="63">(((COS(($B2-$B35)*PI()/180)*COS(F6*PI()/180)*SIN(U26*PI()/180))+((PI()/180)*U26*SIN(($B2-$B35)*PI()/180)*SIN(F6*PI()/180)))/((COS($B2*PI()/180)*COS(F6*PI()/180)*SIN(F7*PI()/180))+((PI()/180)*F7*SIN($B2*PI()/180)*SIN(F6*PI()/180))))</f>
        <v>2.4302011771398337</v>
      </c>
      <c r="G35" s="2">
        <f t="shared" si="63"/>
        <v>1.5365912730824365</v>
      </c>
      <c r="H35" s="2">
        <f t="shared" si="63"/>
        <v>0.93927547194989003</v>
      </c>
      <c r="I35" s="2">
        <f t="shared" si="63"/>
        <v>0.64252512704692522</v>
      </c>
      <c r="J35" s="2">
        <f t="shared" si="63"/>
        <v>0.53656117321752173</v>
      </c>
      <c r="K35" s="2">
        <f t="shared" si="63"/>
        <v>0.58166196291458361</v>
      </c>
      <c r="L35" s="2">
        <f t="shared" si="63"/>
        <v>0.79827363458960621</v>
      </c>
      <c r="M35" s="2">
        <f t="shared" si="63"/>
        <v>1.2614580413194341</v>
      </c>
      <c r="N35" s="2">
        <f t="shared" si="63"/>
        <v>2.0908278137476168</v>
      </c>
      <c r="O35" s="2">
        <f t="shared" si="63"/>
        <v>3.25318507051171</v>
      </c>
      <c r="P35" s="2">
        <f t="shared" si="63"/>
        <v>4.1130133602100774</v>
      </c>
      <c r="Q35" s="2"/>
      <c r="R35" s="2"/>
    </row>
    <row r="36" spans="1:18" x14ac:dyDescent="0.25">
      <c r="A36" s="4"/>
      <c r="B36">
        <f t="shared" si="24"/>
        <v>75</v>
      </c>
      <c r="D36" t="str">
        <f t="shared" si="19"/>
        <v>RbBar at Beta = 75</v>
      </c>
      <c r="E36" s="2">
        <f>(((COS(($B2-$B36)*PI()/180)*COS(E6*PI()/180)*SIN(T27*PI()/180))+((PI()/180)*T27*SIN(($B2-$B36)*PI()/180)*SIN(E6*PI()/180)))/((COS($B2*PI()/180)*COS(E6*PI()/180)*SIN(E7*PI()/180))+((PI()/180)*E7*SIN($B2*PI()/180)*SIN(E6*PI()/180))))</f>
        <v>3.6305506574162698</v>
      </c>
      <c r="F36" s="2">
        <f t="shared" ref="F36:P36" si="64">(((COS(($B2-$B36)*PI()/180)*COS(F6*PI()/180)*SIN(U27*PI()/180))+((PI()/180)*U27*SIN(($B2-$B36)*PI()/180)*SIN(F6*PI()/180)))/((COS($B2*PI()/180)*COS(F6*PI()/180)*SIN(F7*PI()/180))+((PI()/180)*F7*SIN($B2*PI()/180)*SIN(F6*PI()/180))))</f>
        <v>2.4131669196431456</v>
      </c>
      <c r="G36" s="2">
        <f t="shared" si="64"/>
        <v>1.5055858556710642</v>
      </c>
      <c r="H36" s="2">
        <f t="shared" si="64"/>
        <v>0.90040532958016239</v>
      </c>
      <c r="I36" s="2">
        <f t="shared" si="64"/>
        <v>0.60242284753672726</v>
      </c>
      <c r="J36" s="2">
        <f t="shared" si="64"/>
        <v>0.49681440769465535</v>
      </c>
      <c r="K36" s="2">
        <f t="shared" si="64"/>
        <v>0.54169655595444166</v>
      </c>
      <c r="L36" s="2">
        <f t="shared" si="64"/>
        <v>0.75848533712608768</v>
      </c>
      <c r="M36" s="2">
        <f t="shared" si="64"/>
        <v>1.2262494304760299</v>
      </c>
      <c r="N36" s="2">
        <f t="shared" si="64"/>
        <v>2.0684876173740108</v>
      </c>
      <c r="O36" s="2">
        <f t="shared" si="64"/>
        <v>3.2490177693113886</v>
      </c>
      <c r="P36" s="2">
        <f t="shared" si="64"/>
        <v>4.1222890596748138</v>
      </c>
      <c r="Q36" s="2"/>
      <c r="R36" s="2"/>
    </row>
    <row r="37" spans="1:18" x14ac:dyDescent="0.25">
      <c r="A37" s="4"/>
      <c r="B37">
        <f t="shared" si="24"/>
        <v>78</v>
      </c>
      <c r="D37" t="str">
        <f t="shared" si="19"/>
        <v>RbBar at Beta = 78</v>
      </c>
      <c r="E37" s="2">
        <f>(((COS(($B2-$B37)*PI()/180)*COS(E6*PI()/180)*SIN(T28*PI()/180))+((PI()/180)*T28*SIN(($B2-$B37)*PI()/180)*SIN(E6*PI()/180)))/((COS($B2*PI()/180)*COS(E6*PI()/180)*SIN(E7*PI()/180))+((PI()/180)*E7*SIN($B2*PI()/180)*SIN(E6*PI()/180))))</f>
        <v>3.6223055263916586</v>
      </c>
      <c r="F37" s="2">
        <f t="shared" ref="F37:P37" si="65">(((COS(($B2-$B37)*PI()/180)*COS(F6*PI()/180)*SIN(U28*PI()/180))+((PI()/180)*U28*SIN(($B2-$B37)*PI()/180)*SIN(F6*PI()/180)))/((COS($B2*PI()/180)*COS(F6*PI()/180)*SIN(F7*PI()/180))+((PI()/180)*F7*SIN($B2*PI()/180)*SIN(F6*PI()/180))))</f>
        <v>2.3895183393568908</v>
      </c>
      <c r="G37" s="2">
        <f t="shared" si="65"/>
        <v>1.4704537320812867</v>
      </c>
      <c r="H37" s="2">
        <f t="shared" si="65"/>
        <v>0.85918867030099022</v>
      </c>
      <c r="I37" s="2">
        <f t="shared" si="65"/>
        <v>0.56107331025187157</v>
      </c>
      <c r="J37" s="2">
        <f t="shared" si="65"/>
        <v>0.45627822712080218</v>
      </c>
      <c r="K37" s="2">
        <f t="shared" si="65"/>
        <v>0.50074125441639306</v>
      </c>
      <c r="L37" s="2">
        <f t="shared" si="65"/>
        <v>0.71684583124807488</v>
      </c>
      <c r="M37" s="2">
        <f t="shared" si="65"/>
        <v>1.1876878492050142</v>
      </c>
      <c r="N37" s="2">
        <f t="shared" si="65"/>
        <v>2.0404778402199937</v>
      </c>
      <c r="O37" s="2">
        <f t="shared" si="65"/>
        <v>3.2359451362418414</v>
      </c>
      <c r="P37" s="2">
        <f t="shared" si="65"/>
        <v>4.1202658513637793</v>
      </c>
      <c r="Q37" s="2"/>
      <c r="R37" s="2"/>
    </row>
    <row r="38" spans="1:18" x14ac:dyDescent="0.25">
      <c r="A38" s="4"/>
      <c r="B38">
        <f t="shared" si="24"/>
        <v>81</v>
      </c>
      <c r="D38" t="str">
        <f t="shared" si="19"/>
        <v>RbBar at Beta = 81</v>
      </c>
      <c r="E38" s="2">
        <f>(((COS(($B2-$B38)*PI()/180)*COS(E6*PI()/180)*SIN(T29*PI()/180))+((PI()/180)*T29*SIN(($B2-$B38)*PI()/180)*SIN(E6*PI()/180)))/((COS($B2*PI()/180)*COS(E6*PI()/180)*SIN(E7*PI()/180))+((PI()/180)*E7*SIN($B2*PI()/180)*SIN(E6*PI()/180))))</f>
        <v>3.6041319077025782</v>
      </c>
      <c r="F38" s="2">
        <f t="shared" ref="F38:P38" si="66">(((COS(($B2-$B38)*PI()/180)*COS(F6*PI()/180)*SIN(U29*PI()/180))+((PI()/180)*U29*SIN(($B2-$B38)*PI()/180)*SIN(F6*PI()/180)))/((COS($B2*PI()/180)*COS(F6*PI()/180)*SIN(F7*PI()/180))+((PI()/180)*F7*SIN($B2*PI()/180)*SIN(F6*PI()/180))))</f>
        <v>2.3593202553958426</v>
      </c>
      <c r="G38" s="2">
        <f t="shared" si="66"/>
        <v>1.4312911970218607</v>
      </c>
      <c r="H38" s="2">
        <f t="shared" si="66"/>
        <v>0.81574918103077099</v>
      </c>
      <c r="I38" s="2">
        <f t="shared" si="66"/>
        <v>0.51862694981287116</v>
      </c>
      <c r="J38" s="2">
        <f t="shared" si="66"/>
        <v>0.41511791693304695</v>
      </c>
      <c r="K38" s="2">
        <f t="shared" si="66"/>
        <v>0.45895448448478171</v>
      </c>
      <c r="L38" s="2">
        <f t="shared" si="66"/>
        <v>0.67348961536202068</v>
      </c>
      <c r="M38" s="2">
        <f t="shared" si="66"/>
        <v>1.1458796980389498</v>
      </c>
      <c r="N38" s="2">
        <f t="shared" si="66"/>
        <v>2.0068752551378095</v>
      </c>
      <c r="O38" s="2">
        <f t="shared" si="66"/>
        <v>3.2140030024816437</v>
      </c>
      <c r="P38" s="2">
        <f t="shared" si="66"/>
        <v>4.1069492807503254</v>
      </c>
      <c r="Q38" s="2"/>
      <c r="R38" s="2"/>
    </row>
    <row r="39" spans="1:18" x14ac:dyDescent="0.25">
      <c r="A39" s="4"/>
      <c r="B39">
        <f t="shared" si="24"/>
        <v>84</v>
      </c>
      <c r="D39" t="str">
        <f t="shared" si="19"/>
        <v>RbBar at Beta = 84</v>
      </c>
      <c r="E39" s="2">
        <f>(((COS(($B2-$B39)*PI()/180)*COS(E6*PI()/180)*SIN(T30*PI()/180))+((PI()/180)*T30*SIN(($B2-$B39)*PI()/180)*SIN(E6*PI()/180)))/((COS($B2*PI()/180)*COS(E6*PI()/180)*SIN(E7*PI()/180))+((PI()/180)*E7*SIN($B2*PI()/180)*SIN(E6*PI()/180))))</f>
        <v>3.5760796139746218</v>
      </c>
      <c r="F39" s="2">
        <f t="shared" ref="F39:P39" si="67">(((COS(($B2-$B39)*PI()/180)*COS(F6*PI()/180)*SIN(U30*PI()/180))+((PI()/180)*U30*SIN(($B2-$B39)*PI()/180)*SIN(F6*PI()/180)))/((COS($B2*PI()/180)*COS(F6*PI()/180)*SIN(F7*PI()/180))+((PI()/180)*F7*SIN($B2*PI()/180)*SIN(F6*PI()/180))))</f>
        <v>2.3226554386090945</v>
      </c>
      <c r="G39" s="2">
        <f t="shared" si="67"/>
        <v>1.3882055922792287</v>
      </c>
      <c r="H39" s="2">
        <f t="shared" si="67"/>
        <v>0.77021919149678209</v>
      </c>
      <c r="I39" s="2">
        <f t="shared" si="67"/>
        <v>0.47524633267640998</v>
      </c>
      <c r="J39" s="2">
        <f t="shared" si="67"/>
        <v>0.37351415911223207</v>
      </c>
      <c r="K39" s="2">
        <f t="shared" si="67"/>
        <v>0.4165084646947434</v>
      </c>
      <c r="L39" s="2">
        <f t="shared" si="67"/>
        <v>0.62856079327835102</v>
      </c>
      <c r="M39" s="2">
        <f t="shared" si="67"/>
        <v>1.1009404426151284</v>
      </c>
      <c r="N39" s="2">
        <f t="shared" si="67"/>
        <v>1.9677719644774814</v>
      </c>
      <c r="O39" s="2">
        <f t="shared" si="67"/>
        <v>3.1832515098942533</v>
      </c>
      <c r="P39" s="2">
        <f t="shared" si="67"/>
        <v>4.0823758476288798</v>
      </c>
      <c r="Q39" s="2"/>
      <c r="R39" s="2"/>
    </row>
    <row r="40" spans="1:18" x14ac:dyDescent="0.25">
      <c r="A40" s="4"/>
      <c r="B40">
        <f t="shared" si="24"/>
        <v>87</v>
      </c>
      <c r="D40" t="str">
        <f t="shared" si="19"/>
        <v>RbBar at Beta = 87</v>
      </c>
      <c r="E40" s="2">
        <f>(((COS(($B2-$B40)*PI()/180)*COS(E6*PI()/180)*SIN(T31*PI()/180))+((PI()/180)*T31*SIN(($B2-$B40)*PI()/180)*SIN(E6*PI()/180)))/((COS($B2*PI()/180)*COS(E6*PI()/180)*SIN(E7*PI()/180))+((PI()/180)*E7*SIN($B2*PI()/180)*SIN(E6*PI()/180))))</f>
        <v>3.5382255345950075</v>
      </c>
      <c r="F40" s="2">
        <f t="shared" ref="F40:P40" si="68">(((COS(($B2-$B40)*PI()/180)*COS(F6*PI()/180)*SIN(U31*PI()/180))+((PI()/180)*U31*SIN(($B2-$B40)*PI()/180)*SIN(F6*PI()/180)))/((COS($B2*PI()/180)*COS(F6*PI()/180)*SIN(F7*PI()/180))+((PI()/180)*F7*SIN($B2*PI()/180)*SIN(F6*PI()/180))))</f>
        <v>2.2796243847109188</v>
      </c>
      <c r="G40" s="2">
        <f t="shared" si="68"/>
        <v>1.341315012501147</v>
      </c>
      <c r="H40" s="2">
        <f t="shared" si="68"/>
        <v>0.72274000080123002</v>
      </c>
      <c r="I40" s="2">
        <f t="shared" si="68"/>
        <v>0.43110832718415198</v>
      </c>
      <c r="J40" s="2">
        <f t="shared" si="68"/>
        <v>0.33166665206582369</v>
      </c>
      <c r="K40" s="2">
        <f t="shared" si="68"/>
        <v>0.37359211602333064</v>
      </c>
      <c r="L40" s="2">
        <f t="shared" si="68"/>
        <v>0.58221402914447173</v>
      </c>
      <c r="M40" s="2">
        <f t="shared" si="68"/>
        <v>1.0529943414710901</v>
      </c>
      <c r="N40" s="2">
        <f t="shared" si="68"/>
        <v>1.9232751476406724</v>
      </c>
      <c r="O40" s="2">
        <f t="shared" si="68"/>
        <v>3.1437749461833429</v>
      </c>
      <c r="P40" s="2">
        <f t="shared" si="68"/>
        <v>4.0466129060715499</v>
      </c>
      <c r="Q40" s="2"/>
      <c r="R40" s="2"/>
    </row>
    <row r="41" spans="1:18" x14ac:dyDescent="0.25">
      <c r="A41" s="4"/>
      <c r="B41">
        <f t="shared" si="24"/>
        <v>90</v>
      </c>
      <c r="D41" t="str">
        <f t="shared" si="19"/>
        <v>RbBar at Beta = 90</v>
      </c>
      <c r="E41" s="2">
        <f>(((COS(($B2-$B41)*PI()/180)*COS(E6*PI()/180)*SIN(T32*PI()/180))+((PI()/180)*T32*SIN(($B2-$B41)*PI()/180)*SIN(E6*PI()/180)))/((COS($B2*PI()/180)*COS(E6*PI()/180)*SIN(E7*PI()/180))+((PI()/180)*E7*SIN($B2*PI()/180)*SIN(E6*PI()/180))))</f>
        <v>3.4906734249641094</v>
      </c>
      <c r="F41" s="2">
        <f t="shared" ref="F41:P41" si="69">(((COS(($B2-$B41)*PI()/180)*COS(F6*PI()/180)*SIN(U32*PI()/180))+((PI()/180)*U32*SIN(($B2-$B41)*PI()/180)*SIN(F6*PI()/180)))/((COS($B2*PI()/180)*COS(F6*PI()/180)*SIN(F7*PI()/180))+((PI()/180)*F7*SIN($B2*PI()/180)*SIN(F6*PI()/180))))</f>
        <v>2.2303450388289985</v>
      </c>
      <c r="G41" s="2">
        <f t="shared" si="69"/>
        <v>1.2907479815074632</v>
      </c>
      <c r="H41" s="2">
        <f t="shared" si="69"/>
        <v>0.67346244053430326</v>
      </c>
      <c r="I41" s="2">
        <f t="shared" si="69"/>
        <v>0.3864072961877924</v>
      </c>
      <c r="J41" s="2">
        <f t="shared" si="69"/>
        <v>0.28979945100031851</v>
      </c>
      <c r="K41" s="2">
        <f t="shared" si="69"/>
        <v>0.33041534116968529</v>
      </c>
      <c r="L41" s="2">
        <f t="shared" si="69"/>
        <v>0.53461599617878319</v>
      </c>
      <c r="M41" s="2">
        <f t="shared" si="69"/>
        <v>1.0021741662147079</v>
      </c>
      <c r="N41" s="2">
        <f t="shared" si="69"/>
        <v>1.8735067673093968</v>
      </c>
      <c r="O41" s="2">
        <f t="shared" si="69"/>
        <v>3.0956815138660603</v>
      </c>
      <c r="P41" s="2">
        <f t="shared" si="69"/>
        <v>3.9997584798152905</v>
      </c>
    </row>
    <row r="43" spans="1:18" x14ac:dyDescent="0.25">
      <c r="D43" t="str">
        <f>"HTBar at Beta = "&amp;B12</f>
        <v>HTBar at Beta = 3</v>
      </c>
      <c r="E43" s="2">
        <f>(E3*(1-E10)*E12)+(E11*((1+COS($B12*PI()/180))/2))+(E3*E4*((1-COS($B12*PI()/180))/2))</f>
        <v>5.7743719090206742</v>
      </c>
      <c r="F43" s="2">
        <f t="shared" ref="F43:P43" si="70">(F3*(1-F10)*F12)+(F11*((1+COS($B12*PI()/180))/2))+(F3*F4*((1-COS($B12*PI()/180))/2))</f>
        <v>9.0954359736106287</v>
      </c>
      <c r="G43" s="2">
        <f t="shared" si="70"/>
        <v>13.378837588859813</v>
      </c>
      <c r="H43" s="2">
        <f t="shared" si="70"/>
        <v>17.050661062703963</v>
      </c>
      <c r="I43" s="2">
        <f t="shared" si="70"/>
        <v>18.354798826149882</v>
      </c>
      <c r="J43" s="2">
        <f t="shared" si="70"/>
        <v>19.676443772720098</v>
      </c>
      <c r="K43" s="2">
        <f t="shared" si="70"/>
        <v>17.943342253925476</v>
      </c>
      <c r="L43" s="2">
        <f t="shared" si="70"/>
        <v>16.242088656671051</v>
      </c>
      <c r="M43" s="2">
        <f t="shared" si="70"/>
        <v>11.927681727279719</v>
      </c>
      <c r="N43" s="2">
        <f t="shared" si="70"/>
        <v>7.3532410836058695</v>
      </c>
      <c r="O43" s="2">
        <f t="shared" si="70"/>
        <v>5.1113582989098241</v>
      </c>
      <c r="P43" s="2">
        <f t="shared" si="70"/>
        <v>4.4748017737934855</v>
      </c>
      <c r="Q43" s="2"/>
      <c r="R43" s="2"/>
    </row>
    <row r="44" spans="1:18" x14ac:dyDescent="0.25">
      <c r="D44" t="str">
        <f t="shared" ref="D44:D71" si="71">"HTBar at Beta = "&amp;B13</f>
        <v>HTBar at Beta = 6</v>
      </c>
      <c r="E44" s="2">
        <f>(E3*(1-E10)*E13)+(E11*((1+COS($B13*PI()/180))/2))+(E3*E4*((1-COS($B13*PI()/180))/2))</f>
        <v>6.3537596376389658</v>
      </c>
      <c r="F44" s="2">
        <f t="shared" ref="F44:P44" si="72">(F3*(1-F10)*F13)+(F11*((1+COS($B13*PI()/180))/2))+(F3*F4*((1-COS($B13*PI()/180))/2))</f>
        <v>9.7132286406605317</v>
      </c>
      <c r="G44" s="2">
        <f t="shared" si="72"/>
        <v>13.880977859239174</v>
      </c>
      <c r="H44" s="2">
        <f t="shared" si="72"/>
        <v>17.331981934313262</v>
      </c>
      <c r="I44" s="2">
        <f t="shared" si="72"/>
        <v>18.429786228939985</v>
      </c>
      <c r="J44" s="2">
        <f t="shared" si="72"/>
        <v>19.671855757864375</v>
      </c>
      <c r="K44" s="2">
        <f t="shared" si="72"/>
        <v>17.970050423822737</v>
      </c>
      <c r="L44" s="2">
        <f t="shared" si="72"/>
        <v>16.400056177502407</v>
      </c>
      <c r="M44" s="2">
        <f t="shared" si="72"/>
        <v>12.20415172616857</v>
      </c>
      <c r="N44" s="2">
        <f t="shared" si="72"/>
        <v>7.6720618818999835</v>
      </c>
      <c r="O44" s="2">
        <f t="shared" si="72"/>
        <v>5.497146918428399</v>
      </c>
      <c r="P44" s="2">
        <f t="shared" si="72"/>
        <v>4.9451902922127271</v>
      </c>
      <c r="Q44" s="2"/>
      <c r="R44" s="2"/>
    </row>
    <row r="45" spans="1:18" x14ac:dyDescent="0.25">
      <c r="D45" t="str">
        <f t="shared" si="71"/>
        <v>HTBar at Beta = 9</v>
      </c>
      <c r="E45" s="2">
        <f>(E3*(1-E10)*E14)+(E11*((1+COS($B14*PI()/180))/2))+(E3*E4*((1-COS($B14*PI()/180))/2))</f>
        <v>6.9205751243634763</v>
      </c>
      <c r="F45" s="2">
        <f t="shared" ref="F45:P45" si="73">(F3*(1-F10)*F14)+(F11*((1+COS($B14*PI()/180))/2))+(F3*F4*((1-COS($B14*PI()/180))/2))</f>
        <v>10.311684674391566</v>
      </c>
      <c r="G45" s="2">
        <f t="shared" si="73"/>
        <v>14.357044479560297</v>
      </c>
      <c r="H45" s="2">
        <f t="shared" si="73"/>
        <v>17.582824077769004</v>
      </c>
      <c r="I45" s="2">
        <f t="shared" si="73"/>
        <v>18.475411665860367</v>
      </c>
      <c r="J45" s="2">
        <f t="shared" si="73"/>
        <v>19.640022057114216</v>
      </c>
      <c r="K45" s="2">
        <f t="shared" si="73"/>
        <v>17.970451118928533</v>
      </c>
      <c r="L45" s="2">
        <f t="shared" si="73"/>
        <v>16.528853343307986</v>
      </c>
      <c r="M45" s="2">
        <f t="shared" si="73"/>
        <v>12.456637927426623</v>
      </c>
      <c r="N45" s="2">
        <f t="shared" si="73"/>
        <v>7.9755885292351767</v>
      </c>
      <c r="O45" s="2">
        <f t="shared" si="73"/>
        <v>5.872308438765466</v>
      </c>
      <c r="P45" s="2">
        <f t="shared" si="73"/>
        <v>5.4058762530250419</v>
      </c>
      <c r="Q45" s="2"/>
      <c r="R45" s="2"/>
    </row>
    <row r="46" spans="1:18" x14ac:dyDescent="0.25">
      <c r="D46" t="str">
        <f t="shared" si="71"/>
        <v>HTBar at Beta = 12</v>
      </c>
      <c r="E46" s="2">
        <f>(E3*(1-E10)*E15)+(E11*((1+COS($B15*PI()/180))/2))+(E3*E4*((1-COS($B15*PI()/180))/2))</f>
        <v>7.4732647673439558</v>
      </c>
      <c r="F46" s="2">
        <f t="shared" ref="F46:P46" si="74">(F3*(1-F10)*F15)+(F11*((1+COS($B15*PI()/180))/2))+(F3*F4*((1-COS($B15*PI()/180))/2))</f>
        <v>10.889163748413438</v>
      </c>
      <c r="G46" s="2">
        <f t="shared" si="74"/>
        <v>14.805732584307888</v>
      </c>
      <c r="H46" s="2">
        <f t="shared" si="74"/>
        <v>17.802215190465464</v>
      </c>
      <c r="I46" s="2">
        <f t="shared" si="74"/>
        <v>18.490524665673021</v>
      </c>
      <c r="J46" s="2">
        <f t="shared" si="74"/>
        <v>19.57935809227514</v>
      </c>
      <c r="K46" s="2">
        <f t="shared" si="74"/>
        <v>17.943332482700452</v>
      </c>
      <c r="L46" s="2">
        <f t="shared" si="74"/>
        <v>16.627651982444679</v>
      </c>
      <c r="M46" s="2">
        <f t="shared" si="74"/>
        <v>12.684437168915588</v>
      </c>
      <c r="N46" s="2">
        <f t="shared" si="74"/>
        <v>8.2629890801689818</v>
      </c>
      <c r="O46" s="2">
        <f t="shared" si="74"/>
        <v>6.2358145682709383</v>
      </c>
      <c r="P46" s="2">
        <f t="shared" si="74"/>
        <v>5.8555969480337309</v>
      </c>
      <c r="Q46" s="2"/>
      <c r="R46" s="2"/>
    </row>
    <row r="47" spans="1:18" x14ac:dyDescent="0.25">
      <c r="D47" t="str">
        <f t="shared" si="71"/>
        <v>HTBar at Beta = 15</v>
      </c>
      <c r="E47" s="2">
        <f>(E3*(1-E10)*E16)+(E11*((1+COS($B16*PI()/180))/2))+(E3*E4*((1-COS($B16*PI()/180))/2))</f>
        <v>8.0103136826859807</v>
      </c>
      <c r="F47" s="2">
        <f t="shared" ref="F47:P47" si="75">(F3*(1-F10)*F16)+(F11*((1+COS($B16*PI()/180))/2))+(F3*F4*((1-COS($B16*PI()/180))/2))</f>
        <v>11.444083032724338</v>
      </c>
      <c r="G47" s="2">
        <f t="shared" si="75"/>
        <v>15.225812350574747</v>
      </c>
      <c r="H47" s="2">
        <f t="shared" si="75"/>
        <v>17.989330156139076</v>
      </c>
      <c r="I47" s="2">
        <f t="shared" si="75"/>
        <v>18.474288352598435</v>
      </c>
      <c r="J47" s="2">
        <f t="shared" si="75"/>
        <v>19.488748180996858</v>
      </c>
      <c r="K47" s="2">
        <f t="shared" si="75"/>
        <v>17.887835070325771</v>
      </c>
      <c r="L47" s="2">
        <f t="shared" si="75"/>
        <v>16.695809415405265</v>
      </c>
      <c r="M47" s="2">
        <f t="shared" si="75"/>
        <v>12.886916304846389</v>
      </c>
      <c r="N47" s="2">
        <f t="shared" si="75"/>
        <v>8.5334757897682572</v>
      </c>
      <c r="O47" s="2">
        <f t="shared" si="75"/>
        <v>6.5866689619108385</v>
      </c>
      <c r="P47" s="2">
        <f t="shared" si="75"/>
        <v>6.2931197240734749</v>
      </c>
      <c r="Q47" s="2"/>
      <c r="R47" s="2"/>
    </row>
    <row r="48" spans="1:18" x14ac:dyDescent="0.25">
      <c r="D48" t="str">
        <f t="shared" si="71"/>
        <v>HTBar at Beta = 18</v>
      </c>
      <c r="E48" s="2">
        <f>(E3*(1-E10)*E17)+(E11*((1+COS($B17*PI()/180))/2))+(E3*E4*((1-COS($B17*PI()/180))/2))</f>
        <v>8.5302498566424116</v>
      </c>
      <c r="F48" s="2">
        <f t="shared" ref="F48:P48" si="76">(F3*(1-F10)*F17)+(F11*((1+COS($B17*PI()/180))/2))+(F3*F4*((1-COS($B17*PI()/180))/2))</f>
        <v>11.974921532137934</v>
      </c>
      <c r="G48" s="2">
        <f t="shared" si="76"/>
        <v>15.616132368920924</v>
      </c>
      <c r="H48" s="2">
        <f t="shared" si="76"/>
        <v>18.143478253413615</v>
      </c>
      <c r="I48" s="2">
        <f t="shared" si="76"/>
        <v>18.426121580188831</v>
      </c>
      <c r="J48" s="2">
        <f t="shared" si="76"/>
        <v>19.367441445304571</v>
      </c>
      <c r="K48" s="2">
        <f t="shared" si="76"/>
        <v>17.803379901327798</v>
      </c>
      <c r="L48" s="2">
        <f t="shared" si="76"/>
        <v>16.732844247528856</v>
      </c>
      <c r="M48" s="2">
        <f t="shared" si="76"/>
        <v>13.063513369684715</v>
      </c>
      <c r="N48" s="2">
        <f t="shared" si="76"/>
        <v>8.7863072727632936</v>
      </c>
      <c r="O48" s="2">
        <f t="shared" si="76"/>
        <v>6.9239099521797938</v>
      </c>
      <c r="P48" s="2">
        <f t="shared" si="76"/>
        <v>6.7172453616269934</v>
      </c>
      <c r="Q48" s="2"/>
      <c r="R48" s="2"/>
    </row>
    <row r="49" spans="4:18" x14ac:dyDescent="0.25">
      <c r="D49" t="str">
        <f t="shared" si="71"/>
        <v>HTBar at Beta = 21</v>
      </c>
      <c r="E49" s="2">
        <f>(E3*(1-E10)*E18)+(E11*((1+COS($B18*PI()/180))/2))+(E3*E4*((1-COS($B18*PI()/180))/2))</f>
        <v>9.0316481803007527</v>
      </c>
      <c r="F49" s="2">
        <f t="shared" ref="F49:P49" si="77">(F3*(1-F10)*F18)+(F11*((1+COS($B18*PI()/180))/2))+(F3*F4*((1-COS($B18*PI()/180))/2))</f>
        <v>12.480224255225469</v>
      </c>
      <c r="G49" s="2">
        <f t="shared" si="77"/>
        <v>15.975622799306951</v>
      </c>
      <c r="H49" s="2">
        <f t="shared" si="77"/>
        <v>18.264094389913733</v>
      </c>
      <c r="I49" s="2">
        <f t="shared" si="77"/>
        <v>18.34565901131592</v>
      </c>
      <c r="J49" s="2">
        <f t="shared" si="77"/>
        <v>19.214981705262897</v>
      </c>
      <c r="K49" s="2">
        <f t="shared" si="77"/>
        <v>17.689619390856048</v>
      </c>
      <c r="L49" s="2">
        <f t="shared" si="77"/>
        <v>16.738419444895921</v>
      </c>
      <c r="M49" s="2">
        <f t="shared" si="77"/>
        <v>13.213738711212031</v>
      </c>
      <c r="N49" s="2">
        <f t="shared" si="77"/>
        <v>9.0207905356332994</v>
      </c>
      <c r="O49" s="2">
        <f t="shared" si="77"/>
        <v>7.2466131849648088</v>
      </c>
      <c r="P49" s="2">
        <f t="shared" si="77"/>
        <v>7.1268113618023543</v>
      </c>
      <c r="Q49" s="2"/>
      <c r="R49" s="2"/>
    </row>
    <row r="50" spans="4:18" x14ac:dyDescent="0.25">
      <c r="D50" t="str">
        <f t="shared" si="71"/>
        <v>HTBar at Beta = 24</v>
      </c>
      <c r="E50" s="2">
        <f>(E3*(1-E10)*E19)+(E11*((1+COS($B19*PI()/180))/2))+(E3*E4*((1-COS($B19*PI()/180))/2))</f>
        <v>9.5131343557076278</v>
      </c>
      <c r="F50" s="2">
        <f t="shared" ref="F50:P50" si="78">(F3*(1-F10)*F19)+(F11*((1+COS($B19*PI()/180))/2))+(F3*F4*((1-COS($B19*PI()/180))/2))</f>
        <v>12.958606202346111</v>
      </c>
      <c r="G50" s="2">
        <f t="shared" si="78"/>
        <v>16.303298303451008</v>
      </c>
      <c r="H50" s="2">
        <f t="shared" si="78"/>
        <v>18.350732965961278</v>
      </c>
      <c r="I50" s="2">
        <f t="shared" si="78"/>
        <v>18.232722809313117</v>
      </c>
      <c r="J50" s="2">
        <f t="shared" si="78"/>
        <v>19.031158738717249</v>
      </c>
      <c r="K50" s="2">
        <f t="shared" si="78"/>
        <v>17.546402877154318</v>
      </c>
      <c r="L50" s="2">
        <f t="shared" si="78"/>
        <v>16.71233018987326</v>
      </c>
      <c r="M50" s="2">
        <f t="shared" si="78"/>
        <v>13.337176037456739</v>
      </c>
      <c r="N50" s="2">
        <f t="shared" si="78"/>
        <v>9.2362828760534814</v>
      </c>
      <c r="O50" s="2">
        <f t="shared" si="78"/>
        <v>7.5538941531356469</v>
      </c>
      <c r="P50" s="2">
        <f t="shared" si="78"/>
        <v>7.5206951326616629</v>
      </c>
      <c r="Q50" s="2"/>
      <c r="R50" s="2"/>
    </row>
    <row r="51" spans="4:18" x14ac:dyDescent="0.25">
      <c r="D51" t="str">
        <f t="shared" si="71"/>
        <v>HTBar at Beta = 27</v>
      </c>
      <c r="E51" s="2">
        <f>(E3*(1-E10)*E20)+(E11*((1+COS($B20*PI()/180))/2))+(E3*E4*((1-COS($B20*PI()/180))/2))</f>
        <v>9.9733886627239432</v>
      </c>
      <c r="F51" s="2">
        <f t="shared" ref="F51:P51" si="79">(F3*(1-F10)*F20)+(F11*((1+COS($B20*PI()/180))/2))+(F3*F4*((1-COS($B20*PI()/180))/2))</f>
        <v>13.408756161834738</v>
      </c>
      <c r="G51" s="2">
        <f t="shared" si="79"/>
        <v>16.598260745572684</v>
      </c>
      <c r="H51" s="2">
        <f t="shared" si="79"/>
        <v>18.403063470810778</v>
      </c>
      <c r="I51" s="2">
        <f t="shared" si="79"/>
        <v>18.087302037087522</v>
      </c>
      <c r="J51" s="2">
        <f t="shared" si="79"/>
        <v>18.815973432147896</v>
      </c>
      <c r="K51" s="2">
        <f t="shared" si="79"/>
        <v>17.373751741203083</v>
      </c>
      <c r="L51" s="2">
        <f t="shared" si="79"/>
        <v>16.654494928722556</v>
      </c>
      <c r="M51" s="2">
        <f t="shared" si="79"/>
        <v>13.433483340719738</v>
      </c>
      <c r="N51" s="2">
        <f t="shared" si="79"/>
        <v>9.4321936444974348</v>
      </c>
      <c r="O51" s="2">
        <f t="shared" si="79"/>
        <v>7.8449106209173918</v>
      </c>
      <c r="P51" s="2">
        <f t="shared" si="79"/>
        <v>7.897817066167522</v>
      </c>
      <c r="Q51" s="2"/>
      <c r="R51" s="2"/>
    </row>
    <row r="52" spans="4:18" x14ac:dyDescent="0.25">
      <c r="D52" t="str">
        <f t="shared" si="71"/>
        <v>HTBar at Beta = 30</v>
      </c>
      <c r="E52" s="2">
        <f>(E3*(1-E10)*E21)+(E11*((1+COS($B21*PI()/180))/2))+(E3*E4*((1-COS($B21*PI()/180))/2))</f>
        <v>10.411149576286048</v>
      </c>
      <c r="F52" s="2">
        <f t="shared" ref="F52:P52" si="80">(F3*(1-F10)*F21)+(F11*((1+COS($B21*PI()/180))/2))+(F3*F4*((1-COS($B21*PI()/180))/2))</f>
        <v>13.829440303941924</v>
      </c>
      <c r="G52" s="2">
        <f t="shared" si="80"/>
        <v>16.859701654120713</v>
      </c>
      <c r="H52" s="2">
        <f t="shared" si="80"/>
        <v>18.420867221571282</v>
      </c>
      <c r="I52" s="2">
        <f t="shared" si="80"/>
        <v>17.909537284948438</v>
      </c>
      <c r="J52" s="2">
        <f t="shared" si="80"/>
        <v>18.569612220085563</v>
      </c>
      <c r="K52" s="2">
        <f t="shared" si="80"/>
        <v>17.171840989278227</v>
      </c>
      <c r="L52" s="2">
        <f t="shared" si="80"/>
        <v>16.564948579071288</v>
      </c>
      <c r="M52" s="2">
        <f t="shared" si="80"/>
        <v>13.502393673647783</v>
      </c>
      <c r="N52" s="2">
        <f t="shared" si="80"/>
        <v>9.6079858631664496</v>
      </c>
      <c r="O52" s="2">
        <f t="shared" si="80"/>
        <v>8.1188649324001592</v>
      </c>
      <c r="P52" s="2">
        <f t="shared" si="80"/>
        <v>8.2571434973136171</v>
      </c>
      <c r="Q52" s="2"/>
      <c r="R52" s="2"/>
    </row>
    <row r="53" spans="4:18" x14ac:dyDescent="0.25">
      <c r="D53" t="str">
        <f t="shared" si="71"/>
        <v>HTBar at Beta = 33</v>
      </c>
      <c r="E53" s="2">
        <f>(E3*(1-E10)*E22)+(E11*((1+COS($B22*PI()/180))/2))+(E3*E4*((1-COS($B22*PI()/180))/2))</f>
        <v>10.825217224158251</v>
      </c>
      <c r="F53" s="2">
        <f t="shared" ref="F53:P53" si="81">(F3*(1-F10)*F22)+(F11*((1+COS($B22*PI()/180))/2))+(F3*F4*((1-COS($B22*PI()/180))/2))</f>
        <v>14.219505562675545</v>
      </c>
      <c r="G53" s="2">
        <f t="shared" si="81"/>
        <v>17.086904437737289</v>
      </c>
      <c r="H53" s="2">
        <f t="shared" si="81"/>
        <v>18.404034849316243</v>
      </c>
      <c r="I53" s="2">
        <f t="shared" si="81"/>
        <v>17.699708911888745</v>
      </c>
      <c r="J53" s="2">
        <f t="shared" si="81"/>
        <v>18.292427888281885</v>
      </c>
      <c r="K53" s="2">
        <f t="shared" si="81"/>
        <v>16.940985285147551</v>
      </c>
      <c r="L53" s="2">
        <f t="shared" si="81"/>
        <v>16.443837211867386</v>
      </c>
      <c r="M53" s="2">
        <f t="shared" si="81"/>
        <v>13.543715759996498</v>
      </c>
      <c r="N53" s="2">
        <f t="shared" si="81"/>
        <v>9.7631776978083167</v>
      </c>
      <c r="O53" s="2">
        <f t="shared" si="81"/>
        <v>8.375006197858502</v>
      </c>
      <c r="P53" s="2">
        <f t="shared" si="81"/>
        <v>8.5976895373286446</v>
      </c>
      <c r="Q53" s="2"/>
      <c r="R53" s="2"/>
    </row>
    <row r="54" spans="4:18" x14ac:dyDescent="0.25">
      <c r="D54" t="str">
        <f t="shared" si="71"/>
        <v>HTBar at Beta = 36</v>
      </c>
      <c r="E54" s="2">
        <f>(E3*(1-E10)*E23)+(E11*((1+COS($B23*PI()/180))/2))+(E3*E4*((1-COS($B23*PI()/180))/2))</f>
        <v>11.214456675699235</v>
      </c>
      <c r="F54" s="2">
        <f t="shared" ref="F54:P54" si="82">(F3*(1-F10)*F23)+(F11*((1+COS($B23*PI()/180))/2))+(F3*F4*((1-COS($B23*PI()/180))/2))</f>
        <v>14.577882796274524</v>
      </c>
      <c r="G54" s="2">
        <f t="shared" si="82"/>
        <v>17.279246349385204</v>
      </c>
      <c r="H54" s="2">
        <f t="shared" si="82"/>
        <v>18.352564263002584</v>
      </c>
      <c r="I54" s="2">
        <f t="shared" si="82"/>
        <v>17.458227826032015</v>
      </c>
      <c r="J54" s="2">
        <f t="shared" si="82"/>
        <v>17.984924834066856</v>
      </c>
      <c r="K54" s="2">
        <f t="shared" si="82"/>
        <v>16.681628106470271</v>
      </c>
      <c r="L54" s="2">
        <f t="shared" si="82"/>
        <v>16.291413744925975</v>
      </c>
      <c r="M54" s="2">
        <f t="shared" si="82"/>
        <v>13.557334427944353</v>
      </c>
      <c r="N54" s="2">
        <f t="shared" si="82"/>
        <v>9.8973437783915372</v>
      </c>
      <c r="O54" s="2">
        <f t="shared" si="82"/>
        <v>8.6126323518879655</v>
      </c>
      <c r="P54" s="2">
        <f t="shared" si="82"/>
        <v>8.9185217731879938</v>
      </c>
      <c r="Q54" s="2"/>
      <c r="R54" s="2"/>
    </row>
    <row r="55" spans="4:18" x14ac:dyDescent="0.25">
      <c r="D55" t="str">
        <f t="shared" si="71"/>
        <v>HTBar at Beta = 39</v>
      </c>
      <c r="E55" s="2">
        <f>(E3*(1-E10)*E24)+(E11*((1+COS($B24*PI()/180))/2))+(E3*E4*((1-COS($B24*PI()/180))/2))</f>
        <v>11.577801052628024</v>
      </c>
      <c r="F55" s="2">
        <f t="shared" ref="F55:P55" si="83">(F3*(1-F10)*F24)+(F11*((1+COS($B24*PI()/180))/2))+(F3*F4*((1-COS($B24*PI()/180))/2))</f>
        <v>14.903589717652061</v>
      </c>
      <c r="G55" s="2">
        <f t="shared" si="83"/>
        <v>17.436200193254145</v>
      </c>
      <c r="H55" s="2">
        <f t="shared" si="83"/>
        <v>18.266558905682789</v>
      </c>
      <c r="I55" s="2">
        <f t="shared" si="83"/>
        <v>17.185628078585179</v>
      </c>
      <c r="J55" s="2">
        <f t="shared" si="83"/>
        <v>17.647747516620559</v>
      </c>
      <c r="K55" s="2">
        <f t="shared" si="83"/>
        <v>16.394333137410456</v>
      </c>
      <c r="L55" s="2">
        <f t="shared" si="83"/>
        <v>16.108034331581102</v>
      </c>
      <c r="M55" s="2">
        <f t="shared" si="83"/>
        <v>13.54321085749598</v>
      </c>
      <c r="N55" s="2">
        <f t="shared" si="83"/>
        <v>10.010116365015001</v>
      </c>
      <c r="O55" s="2">
        <f t="shared" si="83"/>
        <v>8.8310920777175426</v>
      </c>
      <c r="P55" s="2">
        <f t="shared" si="83"/>
        <v>9.2187608260339466</v>
      </c>
      <c r="Q55" s="2"/>
      <c r="R55" s="2"/>
    </row>
    <row r="56" spans="4:18" x14ac:dyDescent="0.25">
      <c r="D56" t="str">
        <f t="shared" si="71"/>
        <v>HTBar at Beta = 42</v>
      </c>
      <c r="E56" s="2">
        <f>(E3*(1-E10)*E25)+(E11*((1+COS($B25*PI()/180))/2))+(E3*E4*((1-COS($B25*PI()/180))/2))</f>
        <v>11.914254453263213</v>
      </c>
      <c r="F56" s="2">
        <f t="shared" ref="F56:P56" si="84">(F3*(1-F10)*F25)+(F11*((1+COS($B25*PI()/180))/2))+(F3*F4*((1-COS($B25*PI()/180))/2))</f>
        <v>15.195733586776271</v>
      </c>
      <c r="G56" s="2">
        <f t="shared" si="84"/>
        <v>17.5573357697678</v>
      </c>
      <c r="H56" s="2">
        <f t="shared" si="84"/>
        <v>18.146226174661745</v>
      </c>
      <c r="I56" s="2">
        <f t="shared" si="84"/>
        <v>16.88256077665006</v>
      </c>
      <c r="J56" s="2">
        <f t="shared" si="84"/>
        <v>17.281671244166059</v>
      </c>
      <c r="K56" s="2">
        <f t="shared" si="84"/>
        <v>16.079777296068126</v>
      </c>
      <c r="L56" s="2">
        <f t="shared" si="84"/>
        <v>15.894155226777738</v>
      </c>
      <c r="M56" s="2">
        <f t="shared" si="84"/>
        <v>13.501382636208584</v>
      </c>
      <c r="N56" s="2">
        <f t="shared" si="84"/>
        <v>10.101186355857504</v>
      </c>
      <c r="O56" s="2">
        <f t="shared" si="84"/>
        <v>9.0297865924236849</v>
      </c>
      <c r="P56" s="2">
        <f t="shared" si="84"/>
        <v>9.4975837614920167</v>
      </c>
      <c r="Q56" s="2"/>
      <c r="R56" s="2"/>
    </row>
    <row r="57" spans="4:18" x14ac:dyDescent="0.25">
      <c r="D57" t="str">
        <f t="shared" si="71"/>
        <v>HTBar at Beta = 45</v>
      </c>
      <c r="E57" s="2">
        <f>(E3*(1-E10)*E26)+(E11*((1+COS($B26*PI()/180))/2))+(E3*E4*((1-COS($B26*PI()/180))/2))</f>
        <v>12.222894682220254</v>
      </c>
      <c r="F57" s="2">
        <f t="shared" ref="F57:P57" si="85">(F3*(1-F10)*F26)+(F11*((1+COS($B26*PI()/180))/2))+(F3*F4*((1-COS($B26*PI()/180))/2))</f>
        <v>15.453513657608548</v>
      </c>
      <c r="G57" s="2">
        <f t="shared" si="85"/>
        <v>17.642321054730971</v>
      </c>
      <c r="H57" s="2">
        <f t="shared" si="85"/>
        <v>17.991875917293147</v>
      </c>
      <c r="I57" s="2">
        <f t="shared" si="85"/>
        <v>16.549788977848124</v>
      </c>
      <c r="J57" s="2">
        <f t="shared" si="85"/>
        <v>16.88759472225933</v>
      </c>
      <c r="K57" s="2">
        <f t="shared" si="85"/>
        <v>15.738744988906364</v>
      </c>
      <c r="L57" s="2">
        <f t="shared" si="85"/>
        <v>15.650329981495513</v>
      </c>
      <c r="M57" s="2">
        <f t="shared" si="85"/>
        <v>13.431963619535988</v>
      </c>
      <c r="N57" s="2">
        <f t="shared" si="85"/>
        <v>10.17030413440434</v>
      </c>
      <c r="O57" s="2">
        <f t="shared" si="85"/>
        <v>9.2081712881526716</v>
      </c>
      <c r="P57" s="2">
        <f t="shared" si="85"/>
        <v>9.7542263452768516</v>
      </c>
      <c r="Q57" s="2"/>
      <c r="R57" s="2"/>
    </row>
    <row r="58" spans="4:18" x14ac:dyDescent="0.25">
      <c r="D58" t="str">
        <f t="shared" si="71"/>
        <v>HTBar at Beta = 48</v>
      </c>
      <c r="E58" s="2">
        <f>(E3*(1-E10)*E27)+(E11*((1+COS($B27*PI()/180))/2))+(E3*E4*((1-COS($B27*PI()/180))/2))</f>
        <v>12.502875778084887</v>
      </c>
      <c r="F58" s="2">
        <f t="shared" ref="F58:P58" si="86">(F3*(1-F10)*F27)+(F11*((1+COS($B27*PI()/180))/2))+(F3*F4*((1-COS($B27*PI()/180))/2))</f>
        <v>15.676223372892823</v>
      </c>
      <c r="G58" s="2">
        <f t="shared" si="86"/>
        <v>17.690923109384837</v>
      </c>
      <c r="H58" s="2">
        <f t="shared" si="86"/>
        <v>17.803918943079509</v>
      </c>
      <c r="I58" s="2">
        <f t="shared" si="86"/>
        <v>16.188183340900135</v>
      </c>
      <c r="J58" s="2">
        <f t="shared" si="86"/>
        <v>16.46653397952883</v>
      </c>
      <c r="K58" s="2">
        <f t="shared" si="86"/>
        <v>15.372123319705361</v>
      </c>
      <c r="L58" s="2">
        <f t="shared" si="86"/>
        <v>15.377206865517756</v>
      </c>
      <c r="M58" s="2">
        <f t="shared" si="86"/>
        <v>13.33514359373301</v>
      </c>
      <c r="N58" s="2">
        <f t="shared" si="86"/>
        <v>10.217280253628831</v>
      </c>
      <c r="O58" s="2">
        <f t="shared" si="86"/>
        <v>9.3657572248528744</v>
      </c>
      <c r="P58" s="2">
        <f t="shared" si="86"/>
        <v>9.9879851379053122</v>
      </c>
      <c r="Q58" s="2"/>
      <c r="R58" s="2"/>
    </row>
    <row r="59" spans="4:18" x14ac:dyDescent="0.25">
      <c r="D59" t="str">
        <f t="shared" si="71"/>
        <v>HTBar at Beta = 51</v>
      </c>
      <c r="E59" s="2">
        <f>(E3*(1-E10)*E28)+(E11*((1+COS($B28*PI()/180))/2))+(E3*E4*((1-COS($B28*PI()/180))/2))</f>
        <v>12.753430332134608</v>
      </c>
      <c r="F59" s="2">
        <f t="shared" ref="F59:P59" si="87">(F3*(1-F10)*F28)+(F11*((1+COS($B28*PI()/180))/2))+(F3*F4*((1-COS($B28*PI()/180))/2))</f>
        <v>15.863252300779859</v>
      </c>
      <c r="G59" s="2">
        <f t="shared" si="87"/>
        <v>17.703008718875871</v>
      </c>
      <c r="H59" s="2">
        <f t="shared" si="87"/>
        <v>17.582865514581762</v>
      </c>
      <c r="I59" s="2">
        <f t="shared" si="87"/>
        <v>15.798718388162253</v>
      </c>
      <c r="J59" s="2">
        <f t="shared" si="87"/>
        <v>16.01961742652955</v>
      </c>
      <c r="K59" s="2">
        <f t="shared" si="87"/>
        <v>14.98089807943184</v>
      </c>
      <c r="L59" s="2">
        <f t="shared" si="87"/>
        <v>15.075526455244679</v>
      </c>
      <c r="M59" s="2">
        <f t="shared" si="87"/>
        <v>13.211187740642028</v>
      </c>
      <c r="N59" s="2">
        <f t="shared" si="87"/>
        <v>10.241985955253449</v>
      </c>
      <c r="O59" s="2">
        <f t="shared" si="87"/>
        <v>9.5021124704254643</v>
      </c>
      <c r="P59" s="2">
        <f t="shared" si="87"/>
        <v>10.198219422775171</v>
      </c>
      <c r="Q59" s="2"/>
      <c r="R59" s="2"/>
    </row>
    <row r="60" spans="4:18" x14ac:dyDescent="0.25">
      <c r="D60" t="str">
        <f t="shared" si="71"/>
        <v>HTBar at Beta = 54</v>
      </c>
      <c r="E60" s="2">
        <f>(E3*(1-E10)*E29)+(E11*((1+COS($B29*PI()/180))/2))+(E3*E4*((1-COS($B29*PI()/180))/2))</f>
        <v>12.973871591752584</v>
      </c>
      <c r="F60" s="2">
        <f t="shared" ref="F60:P60" si="88">(F3*(1-F10)*F29)+(F11*((1+COS($B29*PI()/180))/2))+(F3*F4*((1-COS($B29*PI()/180))/2))</f>
        <v>16.014087807978544</v>
      </c>
      <c r="G60" s="2">
        <f t="shared" si="88"/>
        <v>17.678544757388519</v>
      </c>
      <c r="H60" s="2">
        <f t="shared" si="88"/>
        <v>17.329323797042413</v>
      </c>
      <c r="I60" s="2">
        <f t="shared" si="88"/>
        <v>15.382469299956234</v>
      </c>
      <c r="J60" s="2">
        <f t="shared" si="88"/>
        <v>15.548081910592217</v>
      </c>
      <c r="K60" s="2">
        <f t="shared" si="88"/>
        <v>14.566150419979445</v>
      </c>
      <c r="L60" s="2">
        <f t="shared" si="88"/>
        <v>14.746119352216654</v>
      </c>
      <c r="M60" s="2">
        <f t="shared" si="88"/>
        <v>13.060435904893783</v>
      </c>
      <c r="N60" s="2">
        <f t="shared" si="88"/>
        <v>10.244353522667318</v>
      </c>
      <c r="O60" s="2">
        <f t="shared" si="88"/>
        <v>9.616863284620262</v>
      </c>
      <c r="P60" s="2">
        <f t="shared" si="88"/>
        <v>10.384352962324808</v>
      </c>
      <c r="Q60" s="2"/>
      <c r="R60" s="2"/>
    </row>
    <row r="61" spans="4:18" x14ac:dyDescent="0.25">
      <c r="D61" t="str">
        <f t="shared" si="71"/>
        <v>HTBar at Beta = 57</v>
      </c>
      <c r="E61" s="2">
        <f>(E3*(1-E10)*E30)+(E11*((1+COS($B30*PI()/180))/2))+(E3*E4*((1-COS($B30*PI()/180))/2))</f>
        <v>13.163595342768893</v>
      </c>
      <c r="F61" s="2">
        <f t="shared" ref="F61:P61" si="89">(F3*(1-F10)*F30)+(F11*((1+COS($B30*PI()/180))/2))+(F3*F4*((1-COS($B30*PI()/180))/2))</f>
        <v>16.128316464848083</v>
      </c>
      <c r="G61" s="2">
        <f t="shared" si="89"/>
        <v>17.617598278940754</v>
      </c>
      <c r="H61" s="2">
        <f t="shared" si="89"/>
        <v>17.043998261521118</v>
      </c>
      <c r="I61" s="2">
        <f t="shared" si="89"/>
        <v>14.940609214321897</v>
      </c>
      <c r="J61" s="2">
        <f t="shared" si="89"/>
        <v>15.053269719028282</v>
      </c>
      <c r="K61" s="2">
        <f t="shared" si="89"/>
        <v>14.129054178933918</v>
      </c>
      <c r="L61" s="2">
        <f t="shared" si="89"/>
        <v>14.389904022646455</v>
      </c>
      <c r="M61" s="2">
        <f t="shared" si="89"/>
        <v>12.883301665165927</v>
      </c>
      <c r="N61" s="2">
        <f t="shared" si="89"/>
        <v>10.224376466532725</v>
      </c>
      <c r="O61" s="2">
        <f t="shared" si="89"/>
        <v>9.7096951434317909</v>
      </c>
      <c r="P61" s="2">
        <f t="shared" si="89"/>
        <v>10.545875577460306</v>
      </c>
      <c r="Q61" s="2"/>
      <c r="R61" s="2"/>
    </row>
    <row r="62" spans="4:18" x14ac:dyDescent="0.25">
      <c r="D62" t="str">
        <f t="shared" si="71"/>
        <v>HTBar at Beta = 60</v>
      </c>
      <c r="E62" s="2">
        <f>(E3*(1-E10)*E31)+(E11*((1+COS($B31*PI()/180))/2))+(E3*E4*((1-COS($B31*PI()/180))/2))</f>
        <v>13.32208156556954</v>
      </c>
      <c r="F62" s="2">
        <f t="shared" ref="F62:P62" si="90">(F3*(1-F10)*F31)+(F11*((1+COS($B31*PI()/180))/2))+(F3*F4*((1-COS($B31*PI()/180))/2))</f>
        <v>16.20562517857995</v>
      </c>
      <c r="G62" s="2">
        <f t="shared" si="90"/>
        <v>17.520336333593658</v>
      </c>
      <c r="H62" s="2">
        <f t="shared" si="90"/>
        <v>16.727688050271983</v>
      </c>
      <c r="I62" s="2">
        <f t="shared" si="90"/>
        <v>14.474407055777757</v>
      </c>
      <c r="J62" s="2">
        <f t="shared" si="90"/>
        <v>14.536626565802818</v>
      </c>
      <c r="K62" s="2">
        <f t="shared" si="90"/>
        <v>13.67087388200928</v>
      </c>
      <c r="L62" s="2">
        <f t="shared" si="90"/>
        <v>14.007884771228843</v>
      </c>
      <c r="M62" s="2">
        <f t="shared" si="90"/>
        <v>12.680271212213095</v>
      </c>
      <c r="N62" s="2">
        <f t="shared" si="90"/>
        <v>10.182109542571943</v>
      </c>
      <c r="O62" s="2">
        <f t="shared" si="90"/>
        <v>9.7803536011877146</v>
      </c>
      <c r="P62" s="2">
        <f t="shared" si="90"/>
        <v>10.682344545920872</v>
      </c>
      <c r="Q62" s="2"/>
      <c r="R62" s="2"/>
    </row>
    <row r="63" spans="4:18" x14ac:dyDescent="0.25">
      <c r="D63" t="str">
        <f t="shared" si="71"/>
        <v>HTBar at Beta = 63</v>
      </c>
      <c r="E63" s="2">
        <f>(E3*(1-E10)*E32)+(E11*((1+COS($B32*PI()/180))/2))+(E3*E4*((1-COS($B32*PI()/180))/2))</f>
        <v>13.448895860434067</v>
      </c>
      <c r="F63" s="2">
        <f t="shared" ref="F63:P63" si="91">(F3*(1-F10)*F32)+(F11*((1+COS($B32*PI()/180))/2))+(F3*F4*((1-COS($B32*PI()/180))/2))</f>
        <v>16.245802051363459</v>
      </c>
      <c r="G63" s="2">
        <f t="shared" si="91"/>
        <v>17.387025509578834</v>
      </c>
      <c r="H63" s="2">
        <f t="shared" si="91"/>
        <v>16.381285327447767</v>
      </c>
      <c r="I63" s="2">
        <f t="shared" si="91"/>
        <v>13.985225968360249</v>
      </c>
      <c r="J63" s="2">
        <f t="shared" si="91"/>
        <v>13.9997006825871</v>
      </c>
      <c r="K63" s="2">
        <f t="shared" si="91"/>
        <v>13.192963511420039</v>
      </c>
      <c r="L63" s="2">
        <f t="shared" si="91"/>
        <v>13.601149886204595</v>
      </c>
      <c r="M63" s="2">
        <f t="shared" si="91"/>
        <v>12.451902037461835</v>
      </c>
      <c r="N63" s="2">
        <f t="shared" si="91"/>
        <v>10.117668601485615</v>
      </c>
      <c r="O63" s="2">
        <f t="shared" si="91"/>
        <v>9.8286449879667313</v>
      </c>
      <c r="P63" s="2">
        <f t="shared" si="91"/>
        <v>10.793385815749801</v>
      </c>
      <c r="Q63" s="2"/>
      <c r="R63" s="2"/>
    </row>
    <row r="64" spans="4:18" x14ac:dyDescent="0.25">
      <c r="D64" t="str">
        <f t="shared" si="71"/>
        <v>HTBar at Beta = 66</v>
      </c>
      <c r="E64" s="2">
        <f>(E3*(1-E10)*E33)+(E11*((1+COS($B33*PI()/180))/2))+(E3*E4*((1-COS($B33*PI()/180))/2))</f>
        <v>13.543690638195008</v>
      </c>
      <c r="F64" s="2">
        <f t="shared" ref="F64:P64" si="92">(F3*(1-F10)*F33)+(F11*((1+COS($B33*PI()/180))/2))+(F3*F4*((1-COS($B33*PI()/180))/2))</f>
        <v>16.248736961182967</v>
      </c>
      <c r="G64" s="2">
        <f t="shared" si="92"/>
        <v>17.218031202598592</v>
      </c>
      <c r="H64" s="2">
        <f t="shared" si="92"/>
        <v>16.005773654455236</v>
      </c>
      <c r="I64" s="2">
        <f t="shared" si="92"/>
        <v>13.47452248748132</v>
      </c>
      <c r="J64" s="2">
        <f t="shared" si="92"/>
        <v>13.444143234288568</v>
      </c>
      <c r="K64" s="2">
        <f t="shared" si="92"/>
        <v>12.696766199410717</v>
      </c>
      <c r="L64" s="2">
        <f t="shared" si="92"/>
        <v>13.170870019629923</v>
      </c>
      <c r="M64" s="2">
        <f t="shared" si="92"/>
        <v>12.198821437106877</v>
      </c>
      <c r="N64" s="2">
        <f t="shared" si="92"/>
        <v>10.031230271414021</v>
      </c>
      <c r="O64" s="2">
        <f t="shared" si="92"/>
        <v>9.8544369404343719</v>
      </c>
      <c r="P64" s="2">
        <f t="shared" si="92"/>
        <v>10.878695030544874</v>
      </c>
      <c r="Q64" s="2"/>
      <c r="R64" s="2"/>
    </row>
    <row r="65" spans="4:18" x14ac:dyDescent="0.25">
      <c r="D65" t="str">
        <f t="shared" si="71"/>
        <v>HTBar at Beta = 69</v>
      </c>
      <c r="E65" s="2">
        <f>(E3*(1-E10)*E34)+(E11*((1+COS($B34*PI()/180))/2))+(E3*E4*((1-COS($B34*PI()/180))/2))</f>
        <v>13.606206072955613</v>
      </c>
      <c r="F65" s="2">
        <f t="shared" ref="F65:P65" si="93">(F3*(1-F10)*F34)+(F11*((1+COS($B34*PI()/180))/2))+(F3*F4*((1-COS($B34*PI()/180))/2))</f>
        <v>16.214421863654671</v>
      </c>
      <c r="G65" s="2">
        <f t="shared" si="93"/>
        <v>17.013816614301703</v>
      </c>
      <c r="H65" s="2">
        <f t="shared" si="93"/>
        <v>15.602226449168588</v>
      </c>
      <c r="I65" s="2">
        <f t="shared" si="93"/>
        <v>12.943846659179453</v>
      </c>
      <c r="J65" s="2">
        <f t="shared" si="93"/>
        <v>12.87171040456986</v>
      </c>
      <c r="K65" s="2">
        <f t="shared" si="93"/>
        <v>12.183815095358185</v>
      </c>
      <c r="L65" s="2">
        <f t="shared" si="93"/>
        <v>12.718296900103626</v>
      </c>
      <c r="M65" s="2">
        <f t="shared" si="93"/>
        <v>11.921724837916042</v>
      </c>
      <c r="N65" s="2">
        <f t="shared" si="93"/>
        <v>9.9230314738116316</v>
      </c>
      <c r="O65" s="2">
        <f t="shared" si="93"/>
        <v>9.8576587646417018</v>
      </c>
      <c r="P65" s="2">
        <f t="shared" si="93"/>
        <v>10.938038363678109</v>
      </c>
      <c r="Q65" s="2"/>
      <c r="R65" s="2"/>
    </row>
    <row r="66" spans="4:18" x14ac:dyDescent="0.25">
      <c r="D66" t="str">
        <f>"HTBar at Beta = "&amp;B35</f>
        <v>HTBar at Beta = 72</v>
      </c>
      <c r="E66" s="2">
        <f>(E3*(1-E10)*E35)+(E11*((1+COS($B35*PI()/180))/2))+(E3*E4*((1-COS($B35*PI()/180))/2))</f>
        <v>13.63627081425461</v>
      </c>
      <c r="F66" s="2">
        <f t="shared" ref="F66:P66" si="94">(F3*(1-F10)*F35)+(F11*((1+COS($B35*PI()/180))/2))+(F3*F4*((1-COS($B35*PI()/180))/2))</f>
        <v>16.142950814075675</v>
      </c>
      <c r="G66" s="2">
        <f t="shared" si="94"/>
        <v>16.774941482679914</v>
      </c>
      <c r="H66" s="2">
        <f t="shared" si="94"/>
        <v>15.171805614095826</v>
      </c>
      <c r="I66" s="2">
        <f t="shared" si="94"/>
        <v>12.39484341399962</v>
      </c>
      <c r="J66" s="2">
        <f t="shared" si="94"/>
        <v>12.284267666482441</v>
      </c>
      <c r="K66" s="2">
        <f t="shared" si="94"/>
        <v>11.65573577463396</v>
      </c>
      <c r="L66" s="2">
        <f t="shared" si="94"/>
        <v>12.244762518974728</v>
      </c>
      <c r="M66" s="2">
        <f t="shared" si="94"/>
        <v>11.621373952437528</v>
      </c>
      <c r="N66" s="2">
        <f t="shared" si="94"/>
        <v>9.793368774061868</v>
      </c>
      <c r="O66" s="2">
        <f t="shared" si="94"/>
        <v>9.8383016297925145</v>
      </c>
      <c r="P66" s="2">
        <f t="shared" si="94"/>
        <v>10.971253159198294</v>
      </c>
      <c r="Q66" s="2"/>
      <c r="R66" s="2"/>
    </row>
    <row r="67" spans="4:18" x14ac:dyDescent="0.25">
      <c r="D67" t="str">
        <f t="shared" si="71"/>
        <v>HTBar at Beta = 75</v>
      </c>
      <c r="E67" s="2">
        <f>(E3*(1-E10)*E36)+(E11*((1+COS($B36*PI()/180))/2))+(E3*E4*((1-COS($B36*PI()/180))/2))</f>
        <v>13.633802456725867</v>
      </c>
      <c r="F67" s="2">
        <f t="shared" ref="F67:P67" si="95">(F3*(1-F10)*F36)+(F11*((1+COS($B36*PI()/180))/2))+(F3*F4*((1-COS($B36*PI()/180))/2))</f>
        <v>16.034519709624988</v>
      </c>
      <c r="G67" s="2">
        <f t="shared" si="95"/>
        <v>16.502060547864993</v>
      </c>
      <c r="H67" s="2">
        <f t="shared" si="95"/>
        <v>14.715760453894587</v>
      </c>
      <c r="I67" s="2">
        <f t="shared" si="95"/>
        <v>11.829255640620961</v>
      </c>
      <c r="J67" s="2">
        <f t="shared" si="95"/>
        <v>11.683796994361398</v>
      </c>
      <c r="K67" s="2">
        <f t="shared" si="95"/>
        <v>11.114250726241984</v>
      </c>
      <c r="L67" s="2">
        <f t="shared" si="95"/>
        <v>11.751678991314597</v>
      </c>
      <c r="M67" s="2">
        <f t="shared" si="95"/>
        <v>11.298594773129741</v>
      </c>
      <c r="N67" s="2">
        <f t="shared" si="95"/>
        <v>9.6425975686120058</v>
      </c>
      <c r="O67" s="2">
        <f t="shared" si="95"/>
        <v>9.7964185924479281</v>
      </c>
      <c r="P67" s="2">
        <f t="shared" si="95"/>
        <v>10.978248377659636</v>
      </c>
      <c r="Q67" s="2"/>
      <c r="R67" s="2"/>
    </row>
    <row r="68" spans="4:18" x14ac:dyDescent="0.25">
      <c r="D68" t="str">
        <f t="shared" si="71"/>
        <v>HTBar at Beta = 78</v>
      </c>
      <c r="E68" s="2">
        <f>(E3*(1-E10)*E37)+(E11*((1+COS($B37*PI()/180))/2))+(E3*E4*((1-COS($B37*PI()/180))/2))</f>
        <v>13.598807765965798</v>
      </c>
      <c r="F68" s="2">
        <f t="shared" ref="F68:P68" si="96">(F3*(1-F10)*F37)+(F11*((1+COS($B37*PI()/180))/2))+(F3*F4*((1-COS($B37*PI()/180))/2))</f>
        <v>15.889425752422952</v>
      </c>
      <c r="G68" s="2">
        <f t="shared" si="96"/>
        <v>16.19592175753154</v>
      </c>
      <c r="H68" s="2">
        <f t="shared" si="96"/>
        <v>14.235427052500926</v>
      </c>
      <c r="I68" s="2">
        <f t="shared" si="96"/>
        <v>11.248929604186776</v>
      </c>
      <c r="J68" s="2">
        <f t="shared" si="96"/>
        <v>11.072408128996251</v>
      </c>
      <c r="K68" s="2">
        <f t="shared" si="96"/>
        <v>10.561186703276649</v>
      </c>
      <c r="L68" s="2">
        <f t="shared" si="96"/>
        <v>11.240539378879998</v>
      </c>
      <c r="M68" s="2">
        <f t="shared" si="96"/>
        <v>10.954275417289763</v>
      </c>
      <c r="N68" s="2">
        <f t="shared" si="96"/>
        <v>9.4711311108562004</v>
      </c>
      <c r="O68" s="2">
        <f t="shared" si="96"/>
        <v>9.7321244511020577</v>
      </c>
      <c r="P68" s="2">
        <f t="shared" si="96"/>
        <v>10.959004845654565</v>
      </c>
      <c r="Q68" s="2"/>
      <c r="R68" s="2"/>
    </row>
    <row r="69" spans="4:18" x14ac:dyDescent="0.25">
      <c r="D69" t="str">
        <f t="shared" si="71"/>
        <v>HTBar at Beta = 81</v>
      </c>
      <c r="E69" s="2">
        <f>(E3*(1-E10)*E38)+(E11*((1+COS($B38*PI()/180))/2))+(E3*E4*((1-COS($B38*PI()/180))/2))</f>
        <v>13.531382659989328</v>
      </c>
      <c r="F69" s="2">
        <f t="shared" ref="F69:P69" si="97">(F3*(1-F10)*F38)+(F11*((1+COS($B38*PI()/180))/2))+(F3*F4*((1-COS($B38*PI()/180))/2))</f>
        <v>15.708066634920906</v>
      </c>
      <c r="G69" s="2">
        <f t="shared" si="97"/>
        <v>15.857364216824424</v>
      </c>
      <c r="H69" s="2">
        <f t="shared" si="97"/>
        <v>13.73222835263088</v>
      </c>
      <c r="I69" s="2">
        <f t="shared" si="97"/>
        <v>10.655823652831151</v>
      </c>
      <c r="J69" s="2">
        <f t="shared" si="97"/>
        <v>10.452355551066697</v>
      </c>
      <c r="K69" s="2">
        <f t="shared" si="97"/>
        <v>9.9984860932859245</v>
      </c>
      <c r="L69" s="2">
        <f t="shared" si="97"/>
        <v>10.712919888447738</v>
      </c>
      <c r="M69" s="2">
        <f t="shared" si="97"/>
        <v>10.589363837835347</v>
      </c>
      <c r="N69" s="2">
        <f t="shared" si="97"/>
        <v>9.279439378436674</v>
      </c>
      <c r="O69" s="2">
        <f t="shared" si="97"/>
        <v>9.6455954315272976</v>
      </c>
      <c r="P69" s="2">
        <f t="shared" si="97"/>
        <v>10.91357530836671</v>
      </c>
      <c r="Q69" s="2"/>
      <c r="R69" s="2"/>
    </row>
    <row r="70" spans="4:18" x14ac:dyDescent="0.25">
      <c r="D70" t="str">
        <f t="shared" si="71"/>
        <v>HTBar at Beta = 84</v>
      </c>
      <c r="E70" s="2">
        <f>(E3*(1-E10)*E39)+(E11*((1+COS($B39*PI()/180))/2))+(E3*E4*((1-COS($B39*PI()/180))/2))</f>
        <v>13.431711946325272</v>
      </c>
      <c r="F70" s="2">
        <f t="shared" ref="F70:P70" si="98">(F3*(1-F10)*F39)+(F11*((1+COS($B39*PI()/180))/2))+(F3*F4*((1-COS($B39*PI()/180))/2))</f>
        <v>15.490939449853801</v>
      </c>
      <c r="G70" s="2">
        <f t="shared" si="98"/>
        <v>15.487315888429865</v>
      </c>
      <c r="H70" s="2">
        <f t="shared" si="98"/>
        <v>13.207675288520951</v>
      </c>
      <c r="I70" s="2">
        <f t="shared" si="98"/>
        <v>10.052021614555249</v>
      </c>
      <c r="J70" s="2">
        <f t="shared" si="98"/>
        <v>9.8260636727031034</v>
      </c>
      <c r="K70" s="2">
        <f t="shared" si="98"/>
        <v>9.4282240459155613</v>
      </c>
      <c r="L70" s="2">
        <f t="shared" si="98"/>
        <v>10.170484048930975</v>
      </c>
      <c r="M70" s="2">
        <f t="shared" si="98"/>
        <v>10.204865419466234</v>
      </c>
      <c r="N70" s="2">
        <f t="shared" si="98"/>
        <v>9.0680477850676624</v>
      </c>
      <c r="O70" s="2">
        <f t="shared" si="98"/>
        <v>9.5370687037517463</v>
      </c>
      <c r="P70" s="2">
        <f t="shared" si="98"/>
        <v>10.842084285000006</v>
      </c>
      <c r="Q70" s="2"/>
      <c r="R70" s="2"/>
    </row>
    <row r="71" spans="4:18" x14ac:dyDescent="0.25">
      <c r="D71" t="str">
        <f t="shared" si="71"/>
        <v>HTBar at Beta = 87</v>
      </c>
      <c r="E71" s="2">
        <f>(E3*(1-E10)*E40)+(E11*((1+COS($B40*PI()/180))/2))+(E3*E4*((1-COS($B40*PI()/180))/2))</f>
        <v>13.300068815471759</v>
      </c>
      <c r="F71" s="2">
        <f t="shared" ref="F71:P71" si="99">(F3*(1-F10)*F40)+(F11*((1+COS($B40*PI()/180))/2))+(F3*F4*((1-COS($B40*PI()/180))/2))</f>
        <v>15.238639327743577</v>
      </c>
      <c r="G71" s="2">
        <f t="shared" si="99"/>
        <v>15.086791049094259</v>
      </c>
      <c r="H71" s="2">
        <f t="shared" si="99"/>
        <v>12.663369487951993</v>
      </c>
      <c r="I71" s="2">
        <f t="shared" si="99"/>
        <v>9.439753011416828</v>
      </c>
      <c r="J71" s="2">
        <f t="shared" si="99"/>
        <v>9.1961641478210048</v>
      </c>
      <c r="K71" s="2">
        <f t="shared" si="99"/>
        <v>8.8526340258144867</v>
      </c>
      <c r="L71" s="2">
        <f t="shared" si="99"/>
        <v>9.6149897642394855</v>
      </c>
      <c r="M71" s="2">
        <f t="shared" si="99"/>
        <v>9.8018404862629129</v>
      </c>
      <c r="N71" s="2">
        <f t="shared" si="99"/>
        <v>8.8375357404129353</v>
      </c>
      <c r="O71" s="2">
        <f t="shared" si="99"/>
        <v>9.4068417319926336</v>
      </c>
      <c r="P71" s="2">
        <f t="shared" si="99"/>
        <v>10.744727727480221</v>
      </c>
      <c r="Q71" s="2"/>
      <c r="R71" s="2"/>
    </row>
    <row r="72" spans="4:18" x14ac:dyDescent="0.25">
      <c r="D72" t="str">
        <f>"HTBar at Beta = "&amp;B41</f>
        <v>HTBar at Beta = 90</v>
      </c>
      <c r="E72" s="2">
        <f>(E3*(1-E10)*E41)+(E11*((1+COS($B41*PI()/180))/2))+(E3*E4*((1-COS($B41*PI()/180))/2))</f>
        <v>13.136814092100057</v>
      </c>
      <c r="F72" s="2">
        <f t="shared" ref="F72:P72" si="100">(F3*(1-F10)*F41)+(F11*((1+COS($B41*PI()/180))/2))+(F3*F4*((1-COS($B41*PI()/180))/2))</f>
        <v>14.95185780568778</v>
      </c>
      <c r="G72" s="2">
        <f t="shared" si="100"/>
        <v>14.656887509562077</v>
      </c>
      <c r="H72" s="2">
        <f t="shared" si="100"/>
        <v>12.101008318311514</v>
      </c>
      <c r="I72" s="2">
        <f t="shared" si="100"/>
        <v>8.8214233985798494</v>
      </c>
      <c r="J72" s="2">
        <f t="shared" si="100"/>
        <v>8.5655515485044553</v>
      </c>
      <c r="K72" s="2">
        <f t="shared" si="100"/>
        <v>8.2741460016852617</v>
      </c>
      <c r="L72" s="2">
        <f t="shared" si="100"/>
        <v>9.0483006043355338</v>
      </c>
      <c r="M72" s="2">
        <f t="shared" si="100"/>
        <v>9.3814017566648449</v>
      </c>
      <c r="N72" s="2">
        <f t="shared" si="100"/>
        <v>8.5885350619641994</v>
      </c>
      <c r="O72" s="2">
        <f t="shared" si="100"/>
        <v>9.2552714593275827</v>
      </c>
      <c r="P72" s="2">
        <f t="shared" si="100"/>
        <v>10.621772483364344</v>
      </c>
      <c r="Q72" s="2"/>
      <c r="R72" s="2"/>
    </row>
    <row r="73" spans="4:18" x14ac:dyDescent="0.25"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4:18" x14ac:dyDescent="0.25">
      <c r="D74" t="s">
        <v>31</v>
      </c>
      <c r="E74" s="2">
        <f>MAX(E43:E72)</f>
        <v>13.63627081425461</v>
      </c>
      <c r="F74" s="2">
        <f t="shared" ref="F74:P74" si="101">MAX(F43:F72)</f>
        <v>16.248736961182967</v>
      </c>
      <c r="G74" s="2">
        <f t="shared" si="101"/>
        <v>17.703008718875871</v>
      </c>
      <c r="H74" s="2">
        <f t="shared" si="101"/>
        <v>18.420867221571282</v>
      </c>
      <c r="I74" s="2">
        <f t="shared" si="101"/>
        <v>18.490524665673021</v>
      </c>
      <c r="J74" s="2">
        <f t="shared" si="101"/>
        <v>19.676443772720098</v>
      </c>
      <c r="K74" s="2">
        <f t="shared" si="101"/>
        <v>17.970451118928533</v>
      </c>
      <c r="L74" s="2">
        <f t="shared" si="101"/>
        <v>16.738419444895921</v>
      </c>
      <c r="M74" s="2">
        <f t="shared" si="101"/>
        <v>13.557334427944353</v>
      </c>
      <c r="N74" s="2">
        <f t="shared" si="101"/>
        <v>10.244353522667318</v>
      </c>
      <c r="O74" s="2">
        <f t="shared" si="101"/>
        <v>9.8576587646417018</v>
      </c>
      <c r="P74" s="2">
        <f t="shared" si="101"/>
        <v>10.978248377659636</v>
      </c>
    </row>
    <row r="75" spans="4:18" x14ac:dyDescent="0.25">
      <c r="D75" t="s">
        <v>32</v>
      </c>
      <c r="E75" s="2">
        <f>E74/E3</f>
        <v>2.6304534749719539</v>
      </c>
      <c r="F75" s="2">
        <f t="shared" ref="F75:P75" si="102">F74/F3</f>
        <v>1.9206544871374664</v>
      </c>
      <c r="G75" s="2">
        <f t="shared" si="102"/>
        <v>1.3774516587983092</v>
      </c>
      <c r="H75" s="2">
        <f t="shared" si="102"/>
        <v>1.1004102282898016</v>
      </c>
      <c r="I75" s="2">
        <f t="shared" si="102"/>
        <v>1.0130684125396132</v>
      </c>
      <c r="J75" s="2">
        <f t="shared" si="102"/>
        <v>1.0010400779772131</v>
      </c>
      <c r="K75" s="2">
        <f t="shared" si="102"/>
        <v>1.0043847037183398</v>
      </c>
      <c r="L75" s="2">
        <f t="shared" si="102"/>
        <v>1.0425024567075187</v>
      </c>
      <c r="M75" s="2">
        <f t="shared" si="102"/>
        <v>1.1659214334317469</v>
      </c>
      <c r="N75" s="2">
        <f t="shared" si="102"/>
        <v>1.4593096186135781</v>
      </c>
      <c r="O75" s="2">
        <f t="shared" si="102"/>
        <v>2.0902584318578672</v>
      </c>
      <c r="P75" s="2">
        <f t="shared" si="102"/>
        <v>2.7473094038187273</v>
      </c>
    </row>
    <row r="76" spans="4:18" x14ac:dyDescent="0.25">
      <c r="D76" t="s">
        <v>33</v>
      </c>
      <c r="E76" s="2">
        <v>72</v>
      </c>
      <c r="F76" s="2">
        <v>66</v>
      </c>
      <c r="G76" s="2">
        <v>51</v>
      </c>
      <c r="H76" s="2">
        <v>30</v>
      </c>
      <c r="I76" s="2">
        <v>12</v>
      </c>
      <c r="J76" s="2">
        <v>3</v>
      </c>
      <c r="K76" s="2">
        <v>9</v>
      </c>
      <c r="L76" s="2">
        <v>21</v>
      </c>
      <c r="M76" s="2">
        <v>36</v>
      </c>
      <c r="N76" s="2">
        <v>54</v>
      </c>
      <c r="O76" s="2">
        <v>69</v>
      </c>
      <c r="P76" s="2">
        <v>75</v>
      </c>
    </row>
    <row r="77" spans="4:18" x14ac:dyDescent="0.25">
      <c r="D77" t="s">
        <v>34</v>
      </c>
      <c r="E77" s="2">
        <f>AVERAGE(E76:P76)</f>
        <v>41.5</v>
      </c>
    </row>
    <row r="82" spans="4:20" x14ac:dyDescent="0.25">
      <c r="D82" t="s">
        <v>35</v>
      </c>
      <c r="E82" s="2">
        <f>(2/15)*E7</f>
        <v>8.5809428906773526</v>
      </c>
      <c r="F82" s="2">
        <f t="shared" ref="F82:P82" si="103">(2/15)*F7</f>
        <v>9.9869899045683521</v>
      </c>
      <c r="G82" s="2">
        <f t="shared" si="103"/>
        <v>11.634635636429293</v>
      </c>
      <c r="H82" s="2">
        <f t="shared" si="103"/>
        <v>13.442873561622461</v>
      </c>
      <c r="I82" s="2">
        <f t="shared" si="103"/>
        <v>15.021505172068212</v>
      </c>
      <c r="J82" s="2">
        <f t="shared" si="103"/>
        <v>15.847650101713448</v>
      </c>
      <c r="K82" s="2">
        <f t="shared" si="103"/>
        <v>15.470425193992968</v>
      </c>
      <c r="L82" s="2">
        <f t="shared" si="103"/>
        <v>14.095679578426752</v>
      </c>
      <c r="M82" s="2">
        <f t="shared" si="103"/>
        <v>12.334960460556665</v>
      </c>
      <c r="N82" s="2">
        <f t="shared" si="103"/>
        <v>10.527961236988894</v>
      </c>
      <c r="O82" s="2">
        <f t="shared" si="103"/>
        <v>8.9565539204833389</v>
      </c>
      <c r="P82" s="2">
        <f t="shared" si="103"/>
        <v>8.159736655898401</v>
      </c>
      <c r="S82" t="s">
        <v>52</v>
      </c>
      <c r="T82">
        <f>(PI()/24)*((COS(E84*PI()/180)-COS(E7*PI()/180))/(SIN(E7*PI()/180)-((PI()*E7/180)*COS(E7*PI()/180))))</f>
        <v>-9.5236625902979127E-2</v>
      </c>
    </row>
    <row r="83" spans="4:20" x14ac:dyDescent="0.25">
      <c r="D83" t="s">
        <v>36</v>
      </c>
      <c r="E83" s="2">
        <v>8</v>
      </c>
      <c r="F83" s="2">
        <v>10</v>
      </c>
      <c r="G83" s="2">
        <v>12</v>
      </c>
      <c r="H83" s="2">
        <v>12</v>
      </c>
      <c r="I83" s="2">
        <v>14</v>
      </c>
      <c r="J83" s="2">
        <v>16</v>
      </c>
      <c r="K83" s="2">
        <v>14</v>
      </c>
      <c r="L83" s="2">
        <v>14</v>
      </c>
      <c r="M83" s="2">
        <v>12</v>
      </c>
      <c r="N83" s="2">
        <v>10</v>
      </c>
      <c r="O83" s="2">
        <v>8</v>
      </c>
      <c r="P83" s="2">
        <v>8</v>
      </c>
    </row>
    <row r="84" spans="4:20" x14ac:dyDescent="0.25">
      <c r="D84" t="s">
        <v>51</v>
      </c>
      <c r="E84" s="2">
        <f>15*(E103-12)</f>
        <v>-82.5</v>
      </c>
      <c r="F84" s="2">
        <f t="shared" ref="F84:P84" si="104">15*(F103-12)</f>
        <v>-67.5</v>
      </c>
      <c r="G84" s="2">
        <f t="shared" si="104"/>
        <v>-52.5</v>
      </c>
      <c r="H84" s="2">
        <f t="shared" si="104"/>
        <v>-37.5</v>
      </c>
      <c r="I84" s="2">
        <f t="shared" si="104"/>
        <v>-22.5</v>
      </c>
      <c r="J84" s="2">
        <f t="shared" si="104"/>
        <v>-7.5</v>
      </c>
      <c r="K84" s="2">
        <f t="shared" si="104"/>
        <v>7.5</v>
      </c>
      <c r="L84" s="2">
        <f t="shared" si="104"/>
        <v>-157.5</v>
      </c>
      <c r="M84" s="2">
        <f t="shared" si="104"/>
        <v>-142.5</v>
      </c>
      <c r="N84" s="2">
        <f t="shared" si="104"/>
        <v>-127.5</v>
      </c>
      <c r="O84" s="2">
        <f t="shared" si="104"/>
        <v>-112.5</v>
      </c>
      <c r="P84" s="2">
        <f t="shared" si="104"/>
        <v>-97.5</v>
      </c>
    </row>
    <row r="85" spans="4:20" x14ac:dyDescent="0.25">
      <c r="D85" t="s">
        <v>53</v>
      </c>
      <c r="E85" s="2">
        <f>0.409 + (0.5016*SIN((E7-60)*PI()/180))</f>
        <v>0.44710754232677741</v>
      </c>
      <c r="F85" s="2">
        <f t="shared" ref="F85:P85" si="105">0.409 + (0.5016*SIN((F7-60)*PI()/180))</f>
        <v>0.53799831888128391</v>
      </c>
      <c r="G85" s="2">
        <f t="shared" si="105"/>
        <v>0.63874557082251271</v>
      </c>
      <c r="H85" s="2">
        <f t="shared" si="105"/>
        <v>0.73689857857484231</v>
      </c>
      <c r="I85" s="2">
        <f t="shared" si="105"/>
        <v>0.80780403744055618</v>
      </c>
      <c r="J85" s="2">
        <f t="shared" si="105"/>
        <v>0.83831070280901909</v>
      </c>
      <c r="K85" s="2">
        <f t="shared" si="105"/>
        <v>0.82498319492695193</v>
      </c>
      <c r="L85" s="2">
        <f t="shared" si="105"/>
        <v>0.76809905110867938</v>
      </c>
      <c r="M85" s="2">
        <f t="shared" si="105"/>
        <v>0.67859958201196224</v>
      </c>
      <c r="N85" s="2">
        <f t="shared" si="105"/>
        <v>0.57197143503796632</v>
      </c>
      <c r="O85" s="2">
        <f t="shared" si="105"/>
        <v>0.47164266062896654</v>
      </c>
      <c r="P85" s="2">
        <f t="shared" si="105"/>
        <v>0.4194874306136484</v>
      </c>
    </row>
    <row r="86" spans="4:20" x14ac:dyDescent="0.25">
      <c r="D86" t="s">
        <v>54</v>
      </c>
      <c r="E86" s="2">
        <f>0.6609 - (0.4767*SIN((E7-60)*PI()/180))</f>
        <v>0.62468415983418113</v>
      </c>
      <c r="F86" s="2">
        <f t="shared" ref="F86:P86" si="106">0.6609 - (0.4767*SIN((F7-60)*PI()/180))</f>
        <v>0.53830530580002389</v>
      </c>
      <c r="G86" s="2">
        <f t="shared" si="106"/>
        <v>0.44255926313578187</v>
      </c>
      <c r="H86" s="2">
        <f t="shared" si="106"/>
        <v>0.34927868339986573</v>
      </c>
      <c r="I86" s="2">
        <f t="shared" si="106"/>
        <v>0.28189305293478251</v>
      </c>
      <c r="J86" s="2">
        <f t="shared" si="106"/>
        <v>0.25290077346678758</v>
      </c>
      <c r="K86" s="2">
        <f t="shared" si="106"/>
        <v>0.26556668855327364</v>
      </c>
      <c r="L86" s="2">
        <f t="shared" si="106"/>
        <v>0.31962703815090215</v>
      </c>
      <c r="M86" s="2">
        <f t="shared" si="106"/>
        <v>0.40468365082714836</v>
      </c>
      <c r="N86" s="2">
        <f t="shared" si="106"/>
        <v>0.5060186541415499</v>
      </c>
      <c r="O86" s="2">
        <f t="shared" si="106"/>
        <v>0.60136699297881113</v>
      </c>
      <c r="P86" s="2">
        <f t="shared" si="106"/>
        <v>0.65093317748499568</v>
      </c>
    </row>
    <row r="102" spans="4:16" x14ac:dyDescent="0.25">
      <c r="D102" t="s">
        <v>37</v>
      </c>
      <c r="E102" s="2" t="s">
        <v>38</v>
      </c>
      <c r="F102" s="2" t="s">
        <v>39</v>
      </c>
      <c r="G102" s="2" t="s">
        <v>40</v>
      </c>
      <c r="H102" s="2" t="s">
        <v>41</v>
      </c>
      <c r="I102" s="2" t="s">
        <v>42</v>
      </c>
      <c r="J102" s="2" t="s">
        <v>43</v>
      </c>
      <c r="K102" s="2" t="s">
        <v>44</v>
      </c>
      <c r="L102" s="2" t="s">
        <v>45</v>
      </c>
      <c r="M102" s="2" t="s">
        <v>46</v>
      </c>
      <c r="N102" s="2" t="s">
        <v>47</v>
      </c>
      <c r="O102" s="2" t="s">
        <v>48</v>
      </c>
      <c r="P102" s="2" t="s">
        <v>49</v>
      </c>
    </row>
    <row r="103" spans="4:16" x14ac:dyDescent="0.25">
      <c r="D103" t="s">
        <v>50</v>
      </c>
      <c r="E103" s="2">
        <v>6.5</v>
      </c>
      <c r="F103" s="2">
        <v>7.5</v>
      </c>
      <c r="G103" s="2">
        <v>8.5</v>
      </c>
      <c r="H103" s="2">
        <v>9.5</v>
      </c>
      <c r="I103" s="2">
        <v>10.5</v>
      </c>
      <c r="J103" s="2">
        <v>11.5</v>
      </c>
      <c r="K103" s="2">
        <v>12.5</v>
      </c>
      <c r="L103" s="2">
        <v>1.5</v>
      </c>
      <c r="M103" s="2">
        <v>2.5</v>
      </c>
      <c r="N103" s="2">
        <v>3.5</v>
      </c>
      <c r="O103" s="2">
        <v>4.5</v>
      </c>
      <c r="P103" s="2">
        <v>5.5</v>
      </c>
    </row>
  </sheetData>
  <mergeCells count="2">
    <mergeCell ref="A12:A41"/>
    <mergeCell ref="R3:R3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Sheth</dc:creator>
  <cp:lastModifiedBy>Priyam Sheth</cp:lastModifiedBy>
  <dcterms:created xsi:type="dcterms:W3CDTF">2015-06-05T18:17:20Z</dcterms:created>
  <dcterms:modified xsi:type="dcterms:W3CDTF">2024-05-13T23:07:38Z</dcterms:modified>
</cp:coreProperties>
</file>