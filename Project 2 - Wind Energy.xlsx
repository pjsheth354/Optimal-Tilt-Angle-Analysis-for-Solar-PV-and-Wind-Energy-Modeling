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priya\Downloads\Renewable Energy for Mechanical Engineering\Project 1\"/>
    </mc:Choice>
  </mc:AlternateContent>
  <xr:revisionPtr revIDLastSave="0" documentId="13_ncr:1_{622A9DC7-54FA-4223-B652-0D0413F7D01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Wind Energy" sheetId="1" r:id="rId1"/>
    <sheet name="Get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L15" i="1"/>
  <c r="K15" i="1"/>
  <c r="Q3" i="1"/>
  <c r="Q4" i="1"/>
  <c r="Q5" i="1"/>
  <c r="Q6" i="1"/>
  <c r="Q7" i="1"/>
  <c r="Q8" i="1"/>
  <c r="Q9" i="1"/>
  <c r="Q10" i="1"/>
  <c r="Q11" i="1"/>
  <c r="Q12" i="1"/>
  <c r="Q13" i="1"/>
  <c r="Q2" i="1"/>
  <c r="P2" i="1" l="1"/>
  <c r="L3" i="1"/>
  <c r="L4" i="1"/>
  <c r="L5" i="1"/>
  <c r="L6" i="1"/>
  <c r="L7" i="1"/>
  <c r="L8" i="1"/>
  <c r="L9" i="1"/>
  <c r="L10" i="1"/>
  <c r="L11" i="1"/>
  <c r="L12" i="1"/>
  <c r="L13" i="1"/>
  <c r="L2" i="1"/>
  <c r="J2" i="1"/>
  <c r="R3" i="1" l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2" i="1"/>
  <c r="S2" i="1" s="1"/>
  <c r="T3" i="1"/>
  <c r="U3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B26" i="1"/>
  <c r="T4" i="1" l="1"/>
  <c r="U4" i="1" s="1"/>
  <c r="P3" i="1"/>
  <c r="P4" i="1"/>
  <c r="P5" i="1"/>
  <c r="P6" i="1"/>
  <c r="P7" i="1"/>
  <c r="P8" i="1"/>
  <c r="P9" i="1"/>
  <c r="P10" i="1"/>
  <c r="P11" i="1"/>
  <c r="P12" i="1"/>
  <c r="P13" i="1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M3" i="1"/>
  <c r="M4" i="1"/>
  <c r="M5" i="1"/>
  <c r="M6" i="1"/>
  <c r="M7" i="1"/>
  <c r="M8" i="1"/>
  <c r="M9" i="1"/>
  <c r="M10" i="1"/>
  <c r="M11" i="1"/>
  <c r="M12" i="1"/>
  <c r="M13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B24" i="1"/>
  <c r="B23" i="1"/>
  <c r="I3" i="1"/>
  <c r="I4" i="1"/>
  <c r="I5" i="1"/>
  <c r="I6" i="1"/>
  <c r="I7" i="1"/>
  <c r="I8" i="1"/>
  <c r="I9" i="1"/>
  <c r="I10" i="1"/>
  <c r="I11" i="1"/>
  <c r="I12" i="1"/>
  <c r="I13" i="1"/>
  <c r="I2" i="1"/>
  <c r="G4" i="1"/>
  <c r="G5" i="1"/>
  <c r="G6" i="1"/>
  <c r="G7" i="1"/>
  <c r="G8" i="1"/>
  <c r="G9" i="1"/>
  <c r="G10" i="1"/>
  <c r="G11" i="1"/>
  <c r="G12" i="1"/>
  <c r="G13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T2" i="1" l="1"/>
  <c r="U2" i="1" s="1"/>
  <c r="M2" i="1"/>
</calcChain>
</file>

<file path=xl/sharedStrings.xml><?xml version="1.0" encoding="utf-8"?>
<sst xmlns="http://schemas.openxmlformats.org/spreadsheetml/2006/main" count="50" uniqueCount="48">
  <si>
    <t>TaBar (C)</t>
  </si>
  <si>
    <t>PaBar (kPa)</t>
  </si>
  <si>
    <t>VwBar (m/s)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</si>
  <si>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</si>
  <si>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</si>
  <si>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</si>
  <si>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</si>
  <si>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</si>
  <si>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</si>
  <si>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</si>
  <si>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</si>
  <si>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</si>
  <si>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</si>
  <si>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</si>
  <si>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</si>
  <si>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</si>
  <si>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Constants</t>
  </si>
  <si>
    <t>R (kJ/kgK)</t>
  </si>
  <si>
    <t>R(J/kgK)</t>
  </si>
  <si>
    <t>TaBar (K)</t>
  </si>
  <si>
    <t>PaBar (Pa)</t>
  </si>
  <si>
    <t>P (Density)</t>
  </si>
  <si>
    <t>Hours</t>
  </si>
  <si>
    <t>Days</t>
  </si>
  <si>
    <t>Height(m)</t>
  </si>
  <si>
    <t>Diameter(m)</t>
  </si>
  <si>
    <t>Radius (m)</t>
  </si>
  <si>
    <t>Area(m2)</t>
  </si>
  <si>
    <t>Wind Energy Density (kW/m2)</t>
  </si>
  <si>
    <t>Wind Energy (kWh)</t>
  </si>
  <si>
    <t>Producible Wind Energy (kWh)</t>
  </si>
  <si>
    <t>Vwe Optimal</t>
  </si>
  <si>
    <t>VT</t>
  </si>
  <si>
    <t>Maximum Axial Thrust (kN)</t>
  </si>
  <si>
    <t xml:space="preserve"> </t>
  </si>
  <si>
    <t>Cp</t>
  </si>
  <si>
    <t>Lambda</t>
  </si>
  <si>
    <t>y = -0.0066x2 + 0.1424x - 0.2993</t>
  </si>
  <si>
    <t>Actual Producible Wind Energy (kWh)</t>
  </si>
  <si>
    <t>Efficiency</t>
  </si>
  <si>
    <t>Max Efficiency</t>
  </si>
  <si>
    <t>Operational Speed (rad/sec)</t>
  </si>
  <si>
    <t>Operational Speed (RPM)</t>
  </si>
  <si>
    <t>Torque (kNm)</t>
  </si>
  <si>
    <t>Torque (Nm)</t>
  </si>
  <si>
    <t>Wind Energy Density (kWh/m2)</t>
  </si>
  <si>
    <t>From Graph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</si>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</sst>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Figure 1-B: Comparison of the available wind energy (kWh) received by the turbine for each month in the year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Wind Energy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'Wind Energy'!$A$2:$A$13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'Wind Energy'!$L$2:$L$13</c:f>
              <c:numCache>
                <c:formatCode>General</c:formatCode>
                <c:ptCount val="12"/>
                <c:pt idx="0">
                  <c:v>3676.426063696907</c:v>
                </c:pt>
                <c:pt idx="1">
                  <c:v>3144.1036798312703</c:v>
                </c:pt>
                <c:pt idx="2">
                  <c:v>3652.3934546231239</c:v>
                </c:pt>
                <c:pt idx="3">
                  <c:v>3056.3962998064189</c:v>
                </c:pt>
                <c:pt idx="4">
                  <c:v>3357.1563595378666</c:v>
                </c:pt>
                <c:pt idx="5">
                  <c:v>2895.320599612513</c:v>
                </c:pt>
                <c:pt idx="6">
                  <c:v>2320.8651889319667</c:v>
                </c:pt>
                <c:pt idx="7">
                  <c:v>2369.748867749583</c:v>
                </c:pt>
                <c:pt idx="8">
                  <c:v>3231.6052524906318</c:v>
                </c:pt>
                <c:pt idx="9">
                  <c:v>3406.0721175262593</c:v>
                </c:pt>
                <c:pt idx="10">
                  <c:v>3322.3965933314344</c:v>
                </c:pt>
                <c:pt idx="11">
                  <c:v>3518.2901499489635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4-43B5-8B65-768F4A288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999424"/>
        <c:axId val="1536300928"/>
      </c:lineChart>
      <c:catAx>
        <c:axId val="173099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00928"/>
        <c:crosses val="autoZero"/>
        <c:auto val="1"/>
        <c:lblAlgn val="ctr"/>
        <c:lblOffset val="100"/>
        <c:noMultiLvlLbl val="0"/>
      </c:catAx>
      <c:valAx>
        <c:axId val="153630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Available</a:t>
                </a:r>
                <a:r>
                  <a:rPr lang="en-IN" baseline="0"/>
                  <a:t> Wind Energy (kWh)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9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Figure 2-B: Comparison of the ideal (Betz limit) producible wind energy by the wind turbine for each month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Wind Energy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'Wind Energy'!$A$2:$A$13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'Wind Energy'!$M$2:$M$13</c:f>
              <c:numCache>
                <c:formatCode>General</c:formatCode>
                <c:ptCount val="12"/>
                <c:pt idx="0">
                  <c:v>2178.62285256113</c:v>
                </c:pt>
                <c:pt idx="1">
                  <c:v>1863.172551011123</c:v>
                </c:pt>
                <c:pt idx="2">
                  <c:v>2164.3813064433325</c:v>
                </c:pt>
                <c:pt idx="3">
                  <c:v>1811.1978072926927</c:v>
                </c:pt>
                <c:pt idx="4">
                  <c:v>1989.4259908372542</c:v>
                </c:pt>
                <c:pt idx="5">
                  <c:v>1715.7455405111186</c:v>
                </c:pt>
                <c:pt idx="6">
                  <c:v>1375.3275193670913</c:v>
                </c:pt>
                <c:pt idx="7">
                  <c:v>1404.2956253330863</c:v>
                </c:pt>
                <c:pt idx="8">
                  <c:v>1915.0253348092631</c:v>
                </c:pt>
                <c:pt idx="9">
                  <c:v>2018.4131066822276</c:v>
                </c:pt>
                <c:pt idx="10">
                  <c:v>1968.8276108630721</c:v>
                </c:pt>
                <c:pt idx="11">
                  <c:v>2084.9126814512374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B-4D76-805D-172D7125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842928"/>
        <c:axId val="1638679056"/>
      </c:lineChart>
      <c:catAx>
        <c:axId val="173484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79056"/>
        <c:crosses val="autoZero"/>
        <c:auto val="1"/>
        <c:lblAlgn val="ctr"/>
        <c:lblOffset val="100"/>
        <c:noMultiLvlLbl val="0"/>
      </c:catAx>
      <c:valAx>
        <c:axId val="16386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Producible</a:t>
                </a:r>
                <a:r>
                  <a:rPr lang="en-IN" baseline="0"/>
                  <a:t> Wind Energy (kWh)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84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Figure 3-B: Comparison of the actual producible wind energy for each month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Wind Energy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'Wind Energy'!$A$2:$A$13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'Wind Energy'!$Q$2:$Q$13</c:f>
              <c:numCache>
                <c:formatCode>General</c:formatCode>
                <c:ptCount val="12"/>
                <c:pt idx="0">
                  <c:v>1723.1408960547403</c:v>
                </c:pt>
                <c:pt idx="1">
                  <c:v>1473.6413947369165</c:v>
                </c:pt>
                <c:pt idx="2">
                  <c:v>1711.8768121818582</c:v>
                </c:pt>
                <c:pt idx="3">
                  <c:v>1432.5329457192686</c:v>
                </c:pt>
                <c:pt idx="4">
                  <c:v>1573.4991857153982</c:v>
                </c:pt>
                <c:pt idx="5">
                  <c:v>1357.0367650383848</c:v>
                </c:pt>
                <c:pt idx="6">
                  <c:v>1087.7895140524129</c:v>
                </c:pt>
                <c:pt idx="7">
                  <c:v>1110.7012943142295</c:v>
                </c:pt>
                <c:pt idx="8">
                  <c:v>1514.6533818423591</c:v>
                </c:pt>
                <c:pt idx="9">
                  <c:v>1596.4260014845577</c:v>
                </c:pt>
                <c:pt idx="10">
                  <c:v>1557.2072832944434</c:v>
                </c:pt>
                <c:pt idx="11">
                  <c:v>1649.0225932810793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7-4520-BBF7-4BF70313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206944"/>
        <c:axId val="1543549152"/>
      </c:lineChart>
      <c:catAx>
        <c:axId val="174320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49152"/>
        <c:crosses val="autoZero"/>
        <c:auto val="1"/>
        <c:lblAlgn val="ctr"/>
        <c:lblOffset val="100"/>
        <c:noMultiLvlLbl val="0"/>
      </c:catAx>
      <c:valAx>
        <c:axId val="154354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Producible Wind Energy (kWh)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5551684088269456E-2"/>
              <c:y val="0.188544569961337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20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Figure 4-B: Comparison of the monthly average maximum axial thrust (kN) acting on the turbine bearings.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Axial Thrust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'Wind Energy'!$A$2:$A$13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'Wind Energy'!$P$2:$P$13</c:f>
              <c:numCache>
                <c:formatCode>General</c:formatCode>
                <c:ptCount val="12"/>
                <c:pt idx="0">
                  <c:v>0.96113452590577131</c:v>
                </c:pt>
                <c:pt idx="1">
                  <c:v>0.9241927336364697</c:v>
                </c:pt>
                <c:pt idx="2">
                  <c:v>0.94656659192994375</c:v>
                </c:pt>
                <c:pt idx="3">
                  <c:v>0.84984882098943915</c:v>
                </c:pt>
                <c:pt idx="4">
                  <c:v>0.87575098202090707</c:v>
                </c:pt>
                <c:pt idx="5">
                  <c:v>0.80506078289748428</c:v>
                </c:pt>
                <c:pt idx="6">
                  <c:v>0.67795543781404843</c:v>
                </c:pt>
                <c:pt idx="7">
                  <c:v>0.68886646717932565</c:v>
                </c:pt>
                <c:pt idx="8">
                  <c:v>0.87109958825021072</c:v>
                </c:pt>
                <c:pt idx="9">
                  <c:v>0.89045541870289557</c:v>
                </c:pt>
                <c:pt idx="10">
                  <c:v>0.90346347781895764</c:v>
                </c:pt>
                <c:pt idx="11">
                  <c:v>0.92791456662182126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3-4177-AA3F-3FCBC6FB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777728"/>
        <c:axId val="1638694448"/>
      </c:lineChart>
      <c:catAx>
        <c:axId val="173477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94448"/>
        <c:crosses val="autoZero"/>
        <c:auto val="1"/>
        <c:lblAlgn val="ctr"/>
        <c:lblOffset val="100"/>
        <c:noMultiLvlLbl val="0"/>
      </c:catAx>
      <c:valAx>
        <c:axId val="16386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Maximum</a:t>
                </a:r>
                <a:r>
                  <a:rPr lang="en-IN" baseline="0"/>
                  <a:t> Axial Thrust (kN)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318840579710145E-2"/>
              <c:y val="0.26027474683215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 v/s Lambda (Advanced Ratio)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'Get Function'!$B$1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'Get Function'!$A$2:$A$13</c:f>
              <c:numCache>
                <c:formatCode>General</c:formatCode>
                <c:ptCount val="12"/>
                <c:pt idx="0">
                  <c:v>4</c:v>
                </c:pt>
                <c:pt idx="1">
                  <c:v>4.3</c:v>
                </c:pt>
                <c:pt idx="2">
                  <c:v>5</c:v>
                </c:pt>
                <c:pt idx="3">
                  <c:v>5.6</c:v>
                </c:pt>
                <c:pt idx="4">
                  <c:v>6.6</c:v>
                </c:pt>
                <c:pt idx="5">
                  <c:v>7.7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</c:numCache>
            </c:numRef>
          </c:xVal>
          <c:yVal>
            <c:numRef>
              <c:f>'Get Function'!$B$2:$B$13</c:f>
              <c:numCache>
                <c:formatCode>General</c:formatCode>
                <c:ptCount val="12"/>
                <c:pt idx="0">
                  <c:v>0.16</c:v>
                </c:pt>
                <c:pt idx="1">
                  <c:v>0.2</c:v>
                </c:pt>
                <c:pt idx="2">
                  <c:v>0.24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0.44</c:v>
                </c:pt>
                <c:pt idx="7">
                  <c:v>0.47</c:v>
                </c:pt>
                <c:pt idx="8">
                  <c:v>0.44</c:v>
                </c:pt>
                <c:pt idx="9">
                  <c:v>0.4</c:v>
                </c:pt>
                <c:pt idx="10">
                  <c:v>0.35</c:v>
                </c:pt>
                <c:pt idx="11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26-4981-BA39-59503B984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994671"/>
        <c:axId val="107101279"/>
      </c:scatterChart>
      <c:valAx>
        <c:axId val="208799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1279"/>
        <c:crosses val="autoZero"/>
        <c:crossBetween val="midCat"/>
      </c:valAx>
      <c:valAx>
        <c:axId val="10710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9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185736</xdr:rowOff>
    </xdr:from>
    <xdr:to>
      <xdr:col>11</xdr:col>
      <xdr:colOff>1019174</xdr:colOff>
      <xdr:row>31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FD79A-2924-4663-BDF0-997256E14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1219199</xdr:colOff>
      <xdr:row>16</xdr:row>
      <xdr:rowOff>4761</xdr:rowOff>
    </xdr:from>
    <xdr:to>
      <xdr:col>16</xdr:col>
      <xdr:colOff>704849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0329B-84E5-4356-9371-4046579A3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952500</xdr:colOff>
      <xdr:row>15</xdr:row>
      <xdr:rowOff>185737</xdr:rowOff>
    </xdr:from>
    <xdr:to>
      <xdr:col>19</xdr:col>
      <xdr:colOff>733425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BAABCB-0889-4817-9BED-2397BEEDE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952499</xdr:colOff>
      <xdr:row>32</xdr:row>
      <xdr:rowOff>185737</xdr:rowOff>
    </xdr:from>
    <xdr:to>
      <xdr:col>19</xdr:col>
      <xdr:colOff>742949</xdr:colOff>
      <xdr:row>48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D3F59D-3736-4048-8AA4-997545981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4761</xdr:rowOff>
    </xdr:from>
    <xdr:to>
      <xdr:col>10</xdr:col>
      <xdr:colOff>609599</xdr:colOff>
      <xdr:row>16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B351C-82C3-4EE2-9BDA-53717F7F2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topLeftCell="N1" workbookViewId="0">
      <selection activeCell="X7" sqref="X7"/>
    </sheetView>
  </sheetViews>
  <sheetFormatPr defaultRowHeight="15" x14ac:dyDescent="0.25"/>
  <cols>
    <col min="1" max="1" width="13.85546875" style="2" bestFit="1" customWidth="1"/>
    <col min="2" max="2" width="12" style="2" bestFit="1" customWidth="1"/>
    <col min="3" max="3" width="11" style="2" bestFit="1" customWidth="1"/>
    <col min="4" max="4" width="12" style="2" bestFit="1" customWidth="1"/>
    <col min="5" max="5" width="9.140625" style="2"/>
    <col min="6" max="6" width="10" style="2" bestFit="1" customWidth="1"/>
    <col min="7" max="7" width="10.7109375" style="2" bestFit="1" customWidth="1"/>
    <col min="8" max="8" width="10.7109375" style="2" customWidth="1"/>
    <col min="9" max="9" width="9.140625" style="2"/>
    <col min="10" max="10" width="27.140625" style="2" bestFit="1" customWidth="1"/>
    <col min="11" max="11" width="29.140625" style="2" bestFit="1" customWidth="1"/>
    <col min="12" max="12" width="18.28515625" style="2" bestFit="1" customWidth="1"/>
    <col min="13" max="13" width="28.85546875" style="2" bestFit="1" customWidth="1"/>
    <col min="14" max="14" width="12.5703125" style="2" bestFit="1" customWidth="1"/>
    <col min="15" max="15" width="9.140625" style="2"/>
    <col min="16" max="16" width="25.5703125" style="2" bestFit="1" customWidth="1"/>
    <col min="17" max="17" width="34.85546875" style="2" bestFit="1" customWidth="1"/>
    <col min="18" max="18" width="26.5703125" style="2" bestFit="1" customWidth="1"/>
    <col min="19" max="19" width="23.85546875" style="2" bestFit="1" customWidth="1"/>
    <col min="20" max="20" width="13.42578125" style="2" bestFit="1" customWidth="1"/>
    <col min="21" max="21" width="12.28515625" style="2" bestFit="1" customWidth="1"/>
    <col min="22" max="16384" width="9.140625" style="2"/>
  </cols>
  <sheetData>
    <row r="1" spans="1:21" x14ac:dyDescent="0.25">
      <c r="A1" s="5" t="s">
        <v>3</v>
      </c>
      <c r="B1" s="4" t="s">
        <v>0</v>
      </c>
      <c r="C1" s="4" t="s">
        <v>1</v>
      </c>
      <c r="D1" s="4" t="s">
        <v>2</v>
      </c>
      <c r="E1" s="4" t="s">
        <v>19</v>
      </c>
      <c r="F1" s="4" t="s">
        <v>20</v>
      </c>
      <c r="G1" s="4" t="s">
        <v>21</v>
      </c>
      <c r="H1" s="4" t="s">
        <v>23</v>
      </c>
      <c r="I1" s="4" t="s">
        <v>22</v>
      </c>
      <c r="J1" s="4" t="s">
        <v>28</v>
      </c>
      <c r="K1" s="4" t="s">
        <v>45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38</v>
      </c>
      <c r="R1" s="4" t="s">
        <v>41</v>
      </c>
      <c r="S1" s="4" t="s">
        <v>42</v>
      </c>
      <c r="T1" s="4" t="s">
        <v>43</v>
      </c>
      <c r="U1" s="4" t="s">
        <v>44</v>
      </c>
    </row>
    <row r="2" spans="1:21" x14ac:dyDescent="0.25">
      <c r="A2" s="6" t="s">
        <v>4</v>
      </c>
      <c r="B2" s="2">
        <v>-17.7</v>
      </c>
      <c r="C2" s="2">
        <v>96.6</v>
      </c>
      <c r="D2" s="2">
        <v>4.57</v>
      </c>
      <c r="E2" s="2">
        <f xml:space="preserve"> (273+B2)</f>
        <v>255.3</v>
      </c>
      <c r="F2" s="2">
        <f>C2*1000</f>
        <v>96600</v>
      </c>
      <c r="G2" s="2">
        <f>F2/($B$20*E2)</f>
        <v>1.3183915622940012</v>
      </c>
      <c r="H2" s="2">
        <v>31</v>
      </c>
      <c r="I2" s="2">
        <f>H2*24</f>
        <v>744</v>
      </c>
      <c r="J2" s="2">
        <f>((1/2)*G2*(D2)^3)/1000</f>
        <v>6.2916277521423869E-2</v>
      </c>
      <c r="K2" s="2">
        <f>J2*I2</f>
        <v>46.809710475939362</v>
      </c>
      <c r="L2" s="2">
        <f>(K2*$B$24)</f>
        <v>3676.426063696907</v>
      </c>
      <c r="M2" s="2">
        <f>(16/27)*L2</f>
        <v>2178.62285256113</v>
      </c>
      <c r="N2" s="2">
        <f>(1/3)*D2</f>
        <v>1.5233333333333334</v>
      </c>
      <c r="O2" s="2">
        <f>(1/2)*(D2+N2)</f>
        <v>3.0466666666666669</v>
      </c>
      <c r="P2" s="2">
        <f>(G2*O2*$B$24*(D2-N2))/1000</f>
        <v>0.96113452590577131</v>
      </c>
      <c r="Q2" s="3">
        <f>$B$25*L2</f>
        <v>1723.1408960547403</v>
      </c>
      <c r="R2" s="2">
        <f>($B$27*D2)/$B$23</f>
        <v>9.8600492000000024</v>
      </c>
      <c r="S2" s="2">
        <f>(R2*60)/(2*PI())</f>
        <v>94.156534158557321</v>
      </c>
      <c r="T2" s="2">
        <f>Q2/R2</f>
        <v>174.75986793805652</v>
      </c>
      <c r="U2" s="2">
        <f>T2*1000</f>
        <v>174759.86793805653</v>
      </c>
    </row>
    <row r="3" spans="1:21" x14ac:dyDescent="0.25">
      <c r="A3" s="6" t="s">
        <v>5</v>
      </c>
      <c r="B3" s="2">
        <v>-15.3</v>
      </c>
      <c r="C3" s="2">
        <v>96.7</v>
      </c>
      <c r="D3" s="2">
        <v>4.5</v>
      </c>
      <c r="E3" s="2">
        <f t="shared" ref="E3:E13" si="0" xml:space="preserve"> (273+B3)</f>
        <v>257.7</v>
      </c>
      <c r="F3" s="2">
        <f t="shared" ref="F3:F13" si="1">C3*1000</f>
        <v>96700</v>
      </c>
      <c r="G3" s="2">
        <f>F3/($B$20*E3)</f>
        <v>1.3074652615809379</v>
      </c>
      <c r="H3" s="2">
        <v>28</v>
      </c>
      <c r="I3" s="2">
        <f t="shared" ref="I3:I13" si="2">H3*24</f>
        <v>672</v>
      </c>
      <c r="J3" s="2">
        <f t="shared" ref="J3:J13" si="3">((1/2)*G3*(D3)^3)/1000</f>
        <v>5.9571385980781488E-2</v>
      </c>
      <c r="K3" s="2">
        <f t="shared" ref="K3:K13" si="4">J3*I3</f>
        <v>40.031971379085164</v>
      </c>
      <c r="L3" s="2">
        <f t="shared" ref="L3:L13" si="5">(K3*$B$24)</f>
        <v>3144.1036798312703</v>
      </c>
      <c r="M3" s="2">
        <f t="shared" ref="M3:M13" si="6">(16/27)*L3</f>
        <v>1863.172551011123</v>
      </c>
      <c r="N3" s="2">
        <f t="shared" ref="N3:N13" si="7">(1/3)*D3</f>
        <v>1.5</v>
      </c>
      <c r="O3" s="2">
        <f>(1/2)*(D3+N3)</f>
        <v>3</v>
      </c>
      <c r="P3" s="2">
        <f t="shared" ref="P3:P13" si="8">(G3*O3*$B$24*(D3-N3))/1000</f>
        <v>0.9241927336364697</v>
      </c>
      <c r="Q3" s="3">
        <f t="shared" ref="Q3:Q13" si="9">$B$25*L3</f>
        <v>1473.6413947369165</v>
      </c>
      <c r="R3" s="2">
        <f t="shared" ref="R3:R13" si="10">($B$27*D3)/$B$23</f>
        <v>9.7090200000000006</v>
      </c>
      <c r="S3" s="2">
        <f t="shared" ref="S3:S13" si="11">(R3*60)/(2*PI())</f>
        <v>92.714311534684427</v>
      </c>
      <c r="T3" s="2">
        <f t="shared" ref="T3:T13" si="12">Q3/R3</f>
        <v>151.78065291212877</v>
      </c>
      <c r="U3" s="2">
        <f t="shared" ref="U3:U13" si="13">T3*1000</f>
        <v>151780.65291212877</v>
      </c>
    </row>
    <row r="4" spans="1:21" x14ac:dyDescent="0.25">
      <c r="A4" s="6" t="s">
        <v>6</v>
      </c>
      <c r="B4" s="2">
        <v>-8.94</v>
      </c>
      <c r="C4" s="2">
        <v>96.7</v>
      </c>
      <c r="D4" s="2">
        <v>4.6100000000000003</v>
      </c>
      <c r="E4" s="2">
        <f t="shared" si="0"/>
        <v>264.06</v>
      </c>
      <c r="F4" s="2">
        <f t="shared" si="1"/>
        <v>96700</v>
      </c>
      <c r="G4" s="2">
        <f t="shared" ref="G4:G13" si="14">F4/($B$20*E4)</f>
        <v>1.2759743918405198</v>
      </c>
      <c r="H4" s="2">
        <v>31</v>
      </c>
      <c r="I4" s="2">
        <f t="shared" si="2"/>
        <v>744</v>
      </c>
      <c r="J4" s="2">
        <f t="shared" si="3"/>
        <v>6.2504997034382184E-2</v>
      </c>
      <c r="K4" s="2">
        <f t="shared" si="4"/>
        <v>46.503717793580343</v>
      </c>
      <c r="L4" s="2">
        <f t="shared" si="5"/>
        <v>3652.3934546231239</v>
      </c>
      <c r="M4" s="2">
        <f t="shared" si="6"/>
        <v>2164.3813064433325</v>
      </c>
      <c r="N4" s="2">
        <f t="shared" si="7"/>
        <v>1.5366666666666666</v>
      </c>
      <c r="O4" s="2">
        <f t="shared" ref="O4:O13" si="15">(1/2)*(D4+N4)</f>
        <v>3.0733333333333333</v>
      </c>
      <c r="P4" s="2">
        <f t="shared" si="8"/>
        <v>0.94656659192994375</v>
      </c>
      <c r="Q4" s="3">
        <f t="shared" si="9"/>
        <v>1711.8768121818582</v>
      </c>
      <c r="R4" s="2">
        <f t="shared" si="10"/>
        <v>9.9463516000000016</v>
      </c>
      <c r="S4" s="2">
        <f t="shared" si="11"/>
        <v>94.980661372198938</v>
      </c>
      <c r="T4" s="2">
        <f t="shared" si="12"/>
        <v>172.11102935289941</v>
      </c>
      <c r="U4" s="2">
        <f t="shared" si="13"/>
        <v>172111.02935289941</v>
      </c>
    </row>
    <row r="5" spans="1:21" x14ac:dyDescent="0.25">
      <c r="A5" s="6" t="s">
        <v>7</v>
      </c>
      <c r="B5" s="2">
        <v>-0.18</v>
      </c>
      <c r="C5" s="2">
        <v>96.7</v>
      </c>
      <c r="D5" s="2">
        <v>4.4400000000000004</v>
      </c>
      <c r="E5" s="2">
        <f t="shared" si="0"/>
        <v>272.82</v>
      </c>
      <c r="F5" s="2">
        <f t="shared" si="1"/>
        <v>96700</v>
      </c>
      <c r="G5" s="2">
        <f t="shared" si="14"/>
        <v>1.2350040242995663</v>
      </c>
      <c r="H5" s="2">
        <v>30</v>
      </c>
      <c r="I5" s="2">
        <f t="shared" si="2"/>
        <v>720</v>
      </c>
      <c r="J5" s="2">
        <f t="shared" si="3"/>
        <v>5.4048953240218897E-2</v>
      </c>
      <c r="K5" s="2">
        <f t="shared" si="4"/>
        <v>38.915246332957608</v>
      </c>
      <c r="L5" s="2">
        <f t="shared" si="5"/>
        <v>3056.3962998064189</v>
      </c>
      <c r="M5" s="2">
        <f t="shared" si="6"/>
        <v>1811.1978072926927</v>
      </c>
      <c r="N5" s="2">
        <f t="shared" si="7"/>
        <v>1.48</v>
      </c>
      <c r="O5" s="2">
        <f t="shared" si="15"/>
        <v>2.96</v>
      </c>
      <c r="P5" s="2">
        <f t="shared" si="8"/>
        <v>0.84984882098943915</v>
      </c>
      <c r="Q5" s="3">
        <f t="shared" si="9"/>
        <v>1432.5329457192686</v>
      </c>
      <c r="R5" s="2">
        <f t="shared" si="10"/>
        <v>9.5795664000000009</v>
      </c>
      <c r="S5" s="2">
        <f t="shared" si="11"/>
        <v>91.478120714221973</v>
      </c>
      <c r="T5" s="2">
        <f t="shared" si="12"/>
        <v>149.5404787547867</v>
      </c>
      <c r="U5" s="2">
        <f t="shared" si="13"/>
        <v>149540.47875478672</v>
      </c>
    </row>
    <row r="6" spans="1:21" x14ac:dyDescent="0.25">
      <c r="A6" s="6" t="s">
        <v>8</v>
      </c>
      <c r="B6" s="2">
        <v>8.7100000000000009</v>
      </c>
      <c r="C6" s="2">
        <v>96.7</v>
      </c>
      <c r="D6" s="2">
        <v>4.58</v>
      </c>
      <c r="E6" s="2">
        <f t="shared" si="0"/>
        <v>281.70999999999998</v>
      </c>
      <c r="F6" s="2">
        <f t="shared" si="1"/>
        <v>96700</v>
      </c>
      <c r="G6" s="2">
        <f t="shared" si="14"/>
        <v>1.196030662416697</v>
      </c>
      <c r="H6" s="2">
        <v>31</v>
      </c>
      <c r="I6" s="2">
        <f t="shared" si="2"/>
        <v>744</v>
      </c>
      <c r="J6" s="2">
        <f t="shared" si="3"/>
        <v>5.7452476274499321E-2</v>
      </c>
      <c r="K6" s="2">
        <f t="shared" si="4"/>
        <v>42.744642348227494</v>
      </c>
      <c r="L6" s="2">
        <f t="shared" si="5"/>
        <v>3357.1563595378666</v>
      </c>
      <c r="M6" s="2">
        <f t="shared" si="6"/>
        <v>1989.4259908372542</v>
      </c>
      <c r="N6" s="2">
        <f t="shared" si="7"/>
        <v>1.5266666666666666</v>
      </c>
      <c r="O6" s="2">
        <f t="shared" si="15"/>
        <v>3.0533333333333332</v>
      </c>
      <c r="P6" s="2">
        <f t="shared" si="8"/>
        <v>0.87575098202090707</v>
      </c>
      <c r="Q6" s="3">
        <f t="shared" si="9"/>
        <v>1573.4991857153982</v>
      </c>
      <c r="R6" s="2">
        <f t="shared" si="10"/>
        <v>9.8816248000000009</v>
      </c>
      <c r="S6" s="2">
        <f t="shared" si="11"/>
        <v>94.362565961967718</v>
      </c>
      <c r="T6" s="2">
        <f t="shared" si="12"/>
        <v>159.23486446433364</v>
      </c>
      <c r="U6" s="2">
        <f t="shared" si="13"/>
        <v>159234.86446433363</v>
      </c>
    </row>
    <row r="7" spans="1:21" x14ac:dyDescent="0.25">
      <c r="A7" s="6" t="s">
        <v>9</v>
      </c>
      <c r="B7" s="2">
        <v>14.7</v>
      </c>
      <c r="C7" s="2">
        <v>96.6</v>
      </c>
      <c r="D7" s="2">
        <v>4.4400000000000004</v>
      </c>
      <c r="E7" s="2">
        <f t="shared" si="0"/>
        <v>287.7</v>
      </c>
      <c r="F7" s="2">
        <f t="shared" si="1"/>
        <v>96600</v>
      </c>
      <c r="G7" s="2">
        <f t="shared" si="14"/>
        <v>1.1699178514204329</v>
      </c>
      <c r="H7" s="2">
        <v>30</v>
      </c>
      <c r="I7" s="2">
        <f t="shared" si="2"/>
        <v>720</v>
      </c>
      <c r="J7" s="2">
        <f t="shared" si="3"/>
        <v>5.120050947379131E-2</v>
      </c>
      <c r="K7" s="2">
        <f t="shared" si="4"/>
        <v>36.864366821129742</v>
      </c>
      <c r="L7" s="2">
        <f t="shared" si="5"/>
        <v>2895.320599612513</v>
      </c>
      <c r="M7" s="2">
        <f t="shared" si="6"/>
        <v>1715.7455405111186</v>
      </c>
      <c r="N7" s="2">
        <f t="shared" si="7"/>
        <v>1.48</v>
      </c>
      <c r="O7" s="2">
        <f t="shared" si="15"/>
        <v>2.96</v>
      </c>
      <c r="P7" s="2">
        <f t="shared" si="8"/>
        <v>0.80506078289748428</v>
      </c>
      <c r="Q7" s="3">
        <f t="shared" si="9"/>
        <v>1357.0367650383848</v>
      </c>
      <c r="R7" s="2">
        <f t="shared" si="10"/>
        <v>9.5795664000000009</v>
      </c>
      <c r="S7" s="2">
        <f t="shared" si="11"/>
        <v>91.478120714221973</v>
      </c>
      <c r="T7" s="2">
        <f t="shared" si="12"/>
        <v>141.65951864359798</v>
      </c>
      <c r="U7" s="2">
        <f t="shared" si="13"/>
        <v>141659.51864359798</v>
      </c>
    </row>
    <row r="8" spans="1:21" x14ac:dyDescent="0.25">
      <c r="A8" s="6" t="s">
        <v>10</v>
      </c>
      <c r="B8" s="2">
        <v>17.2</v>
      </c>
      <c r="C8" s="2">
        <v>96.7</v>
      </c>
      <c r="D8" s="2">
        <v>4.09</v>
      </c>
      <c r="E8" s="2">
        <f t="shared" si="0"/>
        <v>290.2</v>
      </c>
      <c r="F8" s="2">
        <f t="shared" si="1"/>
        <v>96700</v>
      </c>
      <c r="G8" s="2">
        <f t="shared" si="14"/>
        <v>1.1610399652288341</v>
      </c>
      <c r="H8" s="2">
        <v>31</v>
      </c>
      <c r="I8" s="2">
        <f t="shared" si="2"/>
        <v>744</v>
      </c>
      <c r="J8" s="2">
        <f t="shared" si="3"/>
        <v>3.9717974953594415E-2</v>
      </c>
      <c r="K8" s="2">
        <f t="shared" si="4"/>
        <v>29.550173365474244</v>
      </c>
      <c r="L8" s="2">
        <f t="shared" si="5"/>
        <v>2320.8651889319667</v>
      </c>
      <c r="M8" s="2">
        <f t="shared" si="6"/>
        <v>1375.3275193670913</v>
      </c>
      <c r="N8" s="2">
        <f t="shared" si="7"/>
        <v>1.3633333333333333</v>
      </c>
      <c r="O8" s="2">
        <f t="shared" si="15"/>
        <v>2.7266666666666666</v>
      </c>
      <c r="P8" s="2">
        <f t="shared" si="8"/>
        <v>0.67795543781404843</v>
      </c>
      <c r="Q8" s="3">
        <f t="shared" si="9"/>
        <v>1087.7895140524129</v>
      </c>
      <c r="R8" s="2">
        <f t="shared" si="10"/>
        <v>8.8244203999999993</v>
      </c>
      <c r="S8" s="2">
        <f t="shared" si="11"/>
        <v>84.267007594857603</v>
      </c>
      <c r="T8" s="2">
        <f t="shared" si="12"/>
        <v>123.27036391561909</v>
      </c>
      <c r="U8" s="2">
        <f t="shared" si="13"/>
        <v>123270.36391561909</v>
      </c>
    </row>
    <row r="9" spans="1:21" x14ac:dyDescent="0.25">
      <c r="A9" s="6" t="s">
        <v>11</v>
      </c>
      <c r="B9" s="2">
        <v>16</v>
      </c>
      <c r="C9" s="2">
        <v>96.9</v>
      </c>
      <c r="D9" s="2">
        <v>4.1100000000000003</v>
      </c>
      <c r="E9" s="2">
        <f t="shared" si="0"/>
        <v>289</v>
      </c>
      <c r="F9" s="2">
        <f t="shared" si="1"/>
        <v>96900</v>
      </c>
      <c r="G9" s="2">
        <f t="shared" si="14"/>
        <v>1.1682721869235499</v>
      </c>
      <c r="H9" s="2">
        <v>31</v>
      </c>
      <c r="I9" s="2">
        <f t="shared" si="2"/>
        <v>744</v>
      </c>
      <c r="J9" s="2">
        <f t="shared" si="3"/>
        <v>4.0554542600942822E-2</v>
      </c>
      <c r="K9" s="2">
        <f t="shared" si="4"/>
        <v>30.172579695101462</v>
      </c>
      <c r="L9" s="2">
        <f t="shared" si="5"/>
        <v>2369.748867749583</v>
      </c>
      <c r="M9" s="2">
        <f t="shared" si="6"/>
        <v>1404.2956253330863</v>
      </c>
      <c r="N9" s="2">
        <f t="shared" si="7"/>
        <v>1.37</v>
      </c>
      <c r="O9" s="2">
        <f t="shared" si="15"/>
        <v>2.74</v>
      </c>
      <c r="P9" s="2">
        <f t="shared" si="8"/>
        <v>0.68886646717932565</v>
      </c>
      <c r="Q9" s="3">
        <f t="shared" si="9"/>
        <v>1110.7012943142295</v>
      </c>
      <c r="R9" s="2">
        <f t="shared" si="10"/>
        <v>8.8675716000000016</v>
      </c>
      <c r="S9" s="2">
        <f t="shared" si="11"/>
        <v>84.679071201678468</v>
      </c>
      <c r="T9" s="2">
        <f t="shared" si="12"/>
        <v>125.2542797978907</v>
      </c>
      <c r="U9" s="2">
        <f t="shared" si="13"/>
        <v>125254.2797978907</v>
      </c>
    </row>
    <row r="10" spans="1:21" x14ac:dyDescent="0.25">
      <c r="A10" s="6" t="s">
        <v>12</v>
      </c>
      <c r="B10" s="2">
        <v>10.8</v>
      </c>
      <c r="C10" s="2">
        <v>96.9</v>
      </c>
      <c r="D10" s="2">
        <v>4.58</v>
      </c>
      <c r="E10" s="2">
        <f t="shared" si="0"/>
        <v>283.8</v>
      </c>
      <c r="F10" s="2">
        <f t="shared" si="1"/>
        <v>96900</v>
      </c>
      <c r="G10" s="2">
        <f t="shared" si="14"/>
        <v>1.1896781607501969</v>
      </c>
      <c r="H10" s="2">
        <v>30</v>
      </c>
      <c r="I10" s="2">
        <f t="shared" si="2"/>
        <v>720</v>
      </c>
      <c r="J10" s="2">
        <f t="shared" si="3"/>
        <v>5.7147327783957397E-2</v>
      </c>
      <c r="K10" s="2">
        <f t="shared" si="4"/>
        <v>41.146076004449327</v>
      </c>
      <c r="L10" s="2">
        <f t="shared" si="5"/>
        <v>3231.6052524906318</v>
      </c>
      <c r="M10" s="2">
        <f t="shared" si="6"/>
        <v>1915.0253348092631</v>
      </c>
      <c r="N10" s="2">
        <f t="shared" si="7"/>
        <v>1.5266666666666666</v>
      </c>
      <c r="O10" s="2">
        <f t="shared" si="15"/>
        <v>3.0533333333333332</v>
      </c>
      <c r="P10" s="2">
        <f t="shared" si="8"/>
        <v>0.87109958825021072</v>
      </c>
      <c r="Q10" s="3">
        <f t="shared" si="9"/>
        <v>1514.6533818423591</v>
      </c>
      <c r="R10" s="2">
        <f t="shared" si="10"/>
        <v>9.8816248000000009</v>
      </c>
      <c r="S10" s="2">
        <f t="shared" si="11"/>
        <v>94.362565961967718</v>
      </c>
      <c r="T10" s="2">
        <f t="shared" si="12"/>
        <v>153.27979077310837</v>
      </c>
      <c r="U10" s="2">
        <f t="shared" si="13"/>
        <v>153279.79077310837</v>
      </c>
    </row>
    <row r="11" spans="1:21" x14ac:dyDescent="0.25">
      <c r="A11" s="6" t="s">
        <v>13</v>
      </c>
      <c r="B11" s="2">
        <v>3.42</v>
      </c>
      <c r="C11" s="2">
        <v>96.9</v>
      </c>
      <c r="D11" s="2">
        <v>4.57</v>
      </c>
      <c r="E11" s="2">
        <f t="shared" si="0"/>
        <v>276.42</v>
      </c>
      <c r="F11" s="2">
        <f t="shared" si="1"/>
        <v>96900</v>
      </c>
      <c r="G11" s="2">
        <f t="shared" si="14"/>
        <v>1.2214407858364296</v>
      </c>
      <c r="H11" s="2">
        <v>31</v>
      </c>
      <c r="I11" s="2">
        <f t="shared" si="2"/>
        <v>744</v>
      </c>
      <c r="J11" s="2">
        <f t="shared" si="3"/>
        <v>5.8289592906643359E-2</v>
      </c>
      <c r="K11" s="2">
        <f t="shared" si="4"/>
        <v>43.36745712254266</v>
      </c>
      <c r="L11" s="2">
        <f t="shared" si="5"/>
        <v>3406.0721175262593</v>
      </c>
      <c r="M11" s="2">
        <f t="shared" si="6"/>
        <v>2018.4131066822276</v>
      </c>
      <c r="N11" s="2">
        <f t="shared" si="7"/>
        <v>1.5233333333333334</v>
      </c>
      <c r="O11" s="2">
        <f t="shared" si="15"/>
        <v>3.0466666666666669</v>
      </c>
      <c r="P11" s="2">
        <f t="shared" si="8"/>
        <v>0.89045541870289557</v>
      </c>
      <c r="Q11" s="3">
        <f t="shared" si="9"/>
        <v>1596.4260014845577</v>
      </c>
      <c r="R11" s="2">
        <f t="shared" si="10"/>
        <v>9.8600492000000024</v>
      </c>
      <c r="S11" s="2">
        <f t="shared" si="11"/>
        <v>94.156534158557321</v>
      </c>
      <c r="T11" s="2">
        <f t="shared" si="12"/>
        <v>161.90852287882674</v>
      </c>
      <c r="U11" s="2">
        <f t="shared" si="13"/>
        <v>161908.52287882674</v>
      </c>
    </row>
    <row r="12" spans="1:21" x14ac:dyDescent="0.25">
      <c r="A12" s="6" t="s">
        <v>14</v>
      </c>
      <c r="B12" s="2">
        <v>-4.68</v>
      </c>
      <c r="C12" s="2">
        <v>96.7</v>
      </c>
      <c r="D12" s="2">
        <v>4.54</v>
      </c>
      <c r="E12" s="2">
        <f t="shared" si="0"/>
        <v>268.32</v>
      </c>
      <c r="F12" s="2">
        <f t="shared" si="1"/>
        <v>96700</v>
      </c>
      <c r="G12" s="2">
        <f t="shared" si="14"/>
        <v>1.2557163010934991</v>
      </c>
      <c r="H12" s="2">
        <v>30</v>
      </c>
      <c r="I12" s="2">
        <f t="shared" si="2"/>
        <v>720</v>
      </c>
      <c r="J12" s="2">
        <f t="shared" si="3"/>
        <v>5.8752871193374592E-2</v>
      </c>
      <c r="K12" s="2">
        <f t="shared" si="4"/>
        <v>42.302067259229709</v>
      </c>
      <c r="L12" s="2">
        <f t="shared" si="5"/>
        <v>3322.3965933314344</v>
      </c>
      <c r="M12" s="2">
        <f t="shared" si="6"/>
        <v>1968.8276108630721</v>
      </c>
      <c r="N12" s="2">
        <f t="shared" si="7"/>
        <v>1.5133333333333332</v>
      </c>
      <c r="O12" s="2">
        <f t="shared" si="15"/>
        <v>3.0266666666666664</v>
      </c>
      <c r="P12" s="2">
        <f t="shared" si="8"/>
        <v>0.90346347781895764</v>
      </c>
      <c r="Q12" s="3">
        <f t="shared" si="9"/>
        <v>1557.2072832944434</v>
      </c>
      <c r="R12" s="2">
        <f t="shared" si="10"/>
        <v>9.7953223999999999</v>
      </c>
      <c r="S12" s="2">
        <f t="shared" si="11"/>
        <v>93.538438748326058</v>
      </c>
      <c r="T12" s="2">
        <f t="shared" si="12"/>
        <v>158.97458191824737</v>
      </c>
      <c r="U12" s="2">
        <f t="shared" si="13"/>
        <v>158974.58191824736</v>
      </c>
    </row>
    <row r="13" spans="1:21" x14ac:dyDescent="0.25">
      <c r="A13" s="6" t="s">
        <v>15</v>
      </c>
      <c r="B13" s="2">
        <v>-12.9</v>
      </c>
      <c r="C13" s="2">
        <v>96.7</v>
      </c>
      <c r="D13" s="2">
        <v>4.53</v>
      </c>
      <c r="E13" s="2">
        <f t="shared" si="0"/>
        <v>260.10000000000002</v>
      </c>
      <c r="F13" s="2">
        <f t="shared" si="1"/>
        <v>96700</v>
      </c>
      <c r="G13" s="2">
        <f t="shared" si="14"/>
        <v>1.2954009915778839</v>
      </c>
      <c r="H13" s="2">
        <v>31</v>
      </c>
      <c r="I13" s="2">
        <f t="shared" si="2"/>
        <v>744</v>
      </c>
      <c r="J13" s="2">
        <f t="shared" si="3"/>
        <v>6.0210028881279909E-2</v>
      </c>
      <c r="K13" s="2">
        <f t="shared" si="4"/>
        <v>44.796261487672254</v>
      </c>
      <c r="L13" s="2">
        <f t="shared" si="5"/>
        <v>3518.2901499489635</v>
      </c>
      <c r="M13" s="2">
        <f t="shared" si="6"/>
        <v>2084.9126814512374</v>
      </c>
      <c r="N13" s="2">
        <f t="shared" si="7"/>
        <v>1.51</v>
      </c>
      <c r="O13" s="2">
        <f t="shared" si="15"/>
        <v>3.02</v>
      </c>
      <c r="P13" s="2">
        <f t="shared" si="8"/>
        <v>0.92791456662182126</v>
      </c>
      <c r="Q13" s="3">
        <f t="shared" si="9"/>
        <v>1649.0225932810793</v>
      </c>
      <c r="R13" s="2">
        <f t="shared" si="10"/>
        <v>9.7737468000000014</v>
      </c>
      <c r="S13" s="2">
        <f t="shared" si="11"/>
        <v>93.332406944915661</v>
      </c>
      <c r="T13" s="2">
        <f t="shared" si="12"/>
        <v>168.7195941356982</v>
      </c>
      <c r="U13" s="2">
        <f t="shared" si="13"/>
        <v>168719.59413569819</v>
      </c>
    </row>
    <row r="15" spans="1:21" x14ac:dyDescent="0.25">
      <c r="A15" s="8" t="s">
        <v>47</v>
      </c>
      <c r="K15" s="2">
        <f>SUM(K2:K13)</f>
        <v>483.20427008538934</v>
      </c>
      <c r="L15" s="2">
        <f>SUM(L2:L13)</f>
        <v>37950.774627086939</v>
      </c>
      <c r="Q15" s="2">
        <f>SUM(Q2:Q13)</f>
        <v>17787.528067715648</v>
      </c>
    </row>
    <row r="17" spans="1:15" x14ac:dyDescent="0.25">
      <c r="O17" s="2" t="s">
        <v>34</v>
      </c>
    </row>
    <row r="18" spans="1:15" x14ac:dyDescent="0.25">
      <c r="A18" s="7" t="s">
        <v>16</v>
      </c>
    </row>
    <row r="19" spans="1:15" x14ac:dyDescent="0.25">
      <c r="A19" s="2" t="s">
        <v>17</v>
      </c>
      <c r="B19" s="2">
        <v>0.28699999999999998</v>
      </c>
    </row>
    <row r="20" spans="1:15" x14ac:dyDescent="0.25">
      <c r="A20" s="2" t="s">
        <v>18</v>
      </c>
      <c r="B20" s="2">
        <v>287</v>
      </c>
    </row>
    <row r="21" spans="1:15" x14ac:dyDescent="0.25">
      <c r="A21" s="2" t="s">
        <v>24</v>
      </c>
      <c r="B21" s="2">
        <v>50</v>
      </c>
    </row>
    <row r="22" spans="1:15" x14ac:dyDescent="0.25">
      <c r="A22" s="2" t="s">
        <v>25</v>
      </c>
      <c r="B22" s="2">
        <v>10</v>
      </c>
    </row>
    <row r="23" spans="1:15" x14ac:dyDescent="0.25">
      <c r="A23" s="2" t="s">
        <v>26</v>
      </c>
      <c r="B23" s="2">
        <f>B22/2</f>
        <v>5</v>
      </c>
    </row>
    <row r="24" spans="1:15" x14ac:dyDescent="0.25">
      <c r="A24" s="2" t="s">
        <v>27</v>
      </c>
      <c r="B24" s="2">
        <f>PI()*B23*B23</f>
        <v>78.539816339744831</v>
      </c>
    </row>
    <row r="25" spans="1:15" x14ac:dyDescent="0.25">
      <c r="A25" s="2" t="s">
        <v>39</v>
      </c>
      <c r="B25" s="2">
        <v>0.46870000000000001</v>
      </c>
      <c r="C25" s="2" t="s">
        <v>46</v>
      </c>
    </row>
    <row r="26" spans="1:15" x14ac:dyDescent="0.25">
      <c r="A26" s="2" t="s">
        <v>40</v>
      </c>
      <c r="B26" s="2">
        <f>16/27</f>
        <v>0.59259259259259256</v>
      </c>
    </row>
    <row r="27" spans="1:15" x14ac:dyDescent="0.25">
      <c r="A27" s="2" t="s">
        <v>36</v>
      </c>
      <c r="B27" s="2">
        <v>10.787800000000001</v>
      </c>
      <c r="C27" s="2" t="s">
        <v>46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9795-988A-4272-953D-DDC8A2BF3DEF}">
  <dimension ref="A1:C20"/>
  <sheetViews>
    <sheetView workbookViewId="0">
      <selection activeCell="M5" sqref="M5"/>
    </sheetView>
  </sheetViews>
  <sheetFormatPr defaultRowHeight="15" x14ac:dyDescent="0.25"/>
  <cols>
    <col min="1" max="2" width="9.140625" style="2"/>
    <col min="3" max="3" width="28.28515625" style="2" bestFit="1" customWidth="1"/>
    <col min="4" max="16384" width="9.140625" style="2"/>
  </cols>
  <sheetData>
    <row r="1" spans="1:2" x14ac:dyDescent="0.25">
      <c r="A1" s="1" t="s">
        <v>36</v>
      </c>
      <c r="B1" s="1" t="s">
        <v>35</v>
      </c>
    </row>
    <row r="2" spans="1:2" x14ac:dyDescent="0.25">
      <c r="A2" s="2">
        <v>4</v>
      </c>
      <c r="B2" s="2">
        <v>0.16</v>
      </c>
    </row>
    <row r="3" spans="1:2" x14ac:dyDescent="0.25">
      <c r="A3" s="2">
        <v>4.3</v>
      </c>
      <c r="B3" s="2">
        <v>0.2</v>
      </c>
    </row>
    <row r="4" spans="1:2" x14ac:dyDescent="0.25">
      <c r="A4" s="2">
        <v>5</v>
      </c>
      <c r="B4" s="2">
        <v>0.24</v>
      </c>
    </row>
    <row r="5" spans="1:2" x14ac:dyDescent="0.25">
      <c r="A5" s="2">
        <v>5.6</v>
      </c>
      <c r="B5" s="2">
        <v>0.3</v>
      </c>
    </row>
    <row r="6" spans="1:2" x14ac:dyDescent="0.25">
      <c r="A6" s="2">
        <v>6.6</v>
      </c>
      <c r="B6" s="2">
        <v>0.35</v>
      </c>
    </row>
    <row r="7" spans="1:2" x14ac:dyDescent="0.25">
      <c r="A7" s="2">
        <v>7.7</v>
      </c>
      <c r="B7" s="2">
        <v>0.4</v>
      </c>
    </row>
    <row r="8" spans="1:2" x14ac:dyDescent="0.25">
      <c r="A8" s="2">
        <v>9</v>
      </c>
      <c r="B8" s="2">
        <v>0.44</v>
      </c>
    </row>
    <row r="9" spans="1:2" x14ac:dyDescent="0.25">
      <c r="A9" s="2">
        <v>11</v>
      </c>
      <c r="B9" s="2">
        <v>0.47</v>
      </c>
    </row>
    <row r="10" spans="1:2" x14ac:dyDescent="0.25">
      <c r="A10" s="2">
        <v>13</v>
      </c>
      <c r="B10" s="2">
        <v>0.44</v>
      </c>
    </row>
    <row r="11" spans="1:2" x14ac:dyDescent="0.25">
      <c r="A11" s="2">
        <v>14</v>
      </c>
      <c r="B11" s="2">
        <v>0.4</v>
      </c>
    </row>
    <row r="12" spans="1:2" x14ac:dyDescent="0.25">
      <c r="A12" s="2">
        <v>15</v>
      </c>
      <c r="B12" s="2">
        <v>0.35</v>
      </c>
    </row>
    <row r="13" spans="1:2" x14ac:dyDescent="0.25">
      <c r="A13" s="2">
        <v>16</v>
      </c>
      <c r="B13" s="2">
        <v>0.28000000000000003</v>
      </c>
    </row>
    <row r="20" spans="3:3" x14ac:dyDescent="0.25">
      <c r="C20" s="2" t="s">
        <v>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Energy</vt:lpstr>
      <vt:lpstr>Get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Sheth</dc:creator>
  <cp:lastModifiedBy>Priyam Sheth</cp:lastModifiedBy>
  <dcterms:created xsi:type="dcterms:W3CDTF">2015-06-05T18:17:20Z</dcterms:created>
  <dcterms:modified xsi:type="dcterms:W3CDTF">2024-05-21T20:53:18Z</dcterms:modified>
</cp:coreProperties>
</file>